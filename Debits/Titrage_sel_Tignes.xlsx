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Tignes\"/>
    </mc:Choice>
  </mc:AlternateContent>
  <xr:revisionPtr revIDLastSave="0" documentId="13_ncr:1_{D6B8863A-FAB9-4292-939F-6D0445FEC85B}" xr6:coauthVersionLast="47" xr6:coauthVersionMax="47" xr10:uidLastSave="{00000000-0000-0000-0000-000000000000}"/>
  <bookViews>
    <workbookView xWindow="-110" yWindow="-110" windowWidth="25820" windowHeight="15500" activeTab="1" xr2:uid="{4620FC80-24FC-4051-9857-35E60B1D3705}"/>
  </bookViews>
  <sheets>
    <sheet name="Titrage_sel" sheetId="1" r:id="rId1"/>
    <sheet name="Debit_Gouille_haut" sheetId="2" r:id="rId2"/>
    <sheet name="Debit_Gouille_bas" sheetId="5" r:id="rId3"/>
    <sheet name="Debit_Retor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F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2" i="2"/>
  <c r="F4" i="6"/>
  <c r="C168" i="6"/>
  <c r="C169" i="6"/>
  <c r="C170" i="6"/>
  <c r="C171" i="6"/>
  <c r="C172" i="6"/>
  <c r="C173" i="6"/>
  <c r="C174" i="6"/>
  <c r="C175" i="6"/>
  <c r="C176" i="6"/>
  <c r="C177" i="6"/>
  <c r="C178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50" i="6"/>
  <c r="C151" i="6"/>
  <c r="C152" i="6"/>
  <c r="C153" i="6"/>
  <c r="C154" i="6"/>
  <c r="C155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2" i="6"/>
  <c r="F4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95" i="5"/>
  <c r="C96" i="5"/>
  <c r="C97" i="5"/>
  <c r="C98" i="5"/>
  <c r="C99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2" i="5"/>
  <c r="B42" i="1"/>
  <c r="B38" i="1"/>
  <c r="B39" i="1"/>
  <c r="B40" i="1"/>
  <c r="B41" i="1"/>
  <c r="B35" i="1"/>
  <c r="B37" i="1"/>
  <c r="B23" i="1"/>
  <c r="B25" i="1"/>
  <c r="B22" i="1"/>
  <c r="B27" i="1"/>
  <c r="B24" i="1"/>
  <c r="B12" i="1"/>
  <c r="B13" i="1"/>
  <c r="B14" i="1"/>
  <c r="B15" i="1"/>
  <c r="B11" i="1"/>
  <c r="B3" i="1"/>
  <c r="B4" i="1"/>
  <c r="B2" i="1"/>
  <c r="F5" i="6" l="1"/>
  <c r="F5" i="2"/>
  <c r="F5" i="5"/>
</calcChain>
</file>

<file path=xl/sharedStrings.xml><?xml version="1.0" encoding="utf-8"?>
<sst xmlns="http://schemas.openxmlformats.org/spreadsheetml/2006/main" count="42" uniqueCount="15">
  <si>
    <t>Masse (g)</t>
  </si>
  <si>
    <t>Concentration (g/l)</t>
  </si>
  <si>
    <t>Conductivite (uS/cm)</t>
  </si>
  <si>
    <t>Volume eau (l)</t>
  </si>
  <si>
    <t>Masse gobelet</t>
  </si>
  <si>
    <t>Test 2</t>
  </si>
  <si>
    <t>Masse eau</t>
  </si>
  <si>
    <t>t(s)</t>
  </si>
  <si>
    <t>Conduc (us/m)</t>
  </si>
  <si>
    <t>Concentration (kg/m3)</t>
  </si>
  <si>
    <t>Masse sel</t>
  </si>
  <si>
    <t>Q</t>
  </si>
  <si>
    <t>m3/s</t>
  </si>
  <si>
    <t>kg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</si>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</sst>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724759405074367"/>
          <c:y val="0.16708333333333336"/>
          <c:w val="0.85230796150481192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482195975503061"/>
                  <c:y val="-1.2883129192184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Titrage_sel!$B$2:$B$4</c:f>
              <c:numCache>
                <c:formatCode>General</c:formatCode>
                <c:ptCount val="3"/>
                <c:pt idx="0">
                  <c:v>0</c:v>
                </c:pt>
                <c:pt idx="1">
                  <c:v>4.7846889952153111</c:v>
                </c:pt>
                <c:pt idx="2">
                  <c:v>9.5693779904306222</c:v>
                </c:pt>
              </c:numCache>
            </c:numRef>
          </c:xVal>
          <c:yVal>
            <c:numRef>
              <c:f>Titrage_sel!$C$2:$C$4</c:f>
              <c:numCache>
                <c:formatCode>General</c:formatCode>
                <c:ptCount val="3"/>
                <c:pt idx="0">
                  <c:v>373</c:v>
                </c:pt>
                <c:pt idx="1">
                  <c:v>9170</c:v>
                </c:pt>
                <c:pt idx="2">
                  <c:v>17220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5-47DA-B1B8-B796102C5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Titrage_sel!$B$11:$B$15</c:f>
              <c:numCache>
                <c:formatCode>General</c:formatCode>
                <c:ptCount val="5"/>
                <c:pt idx="0">
                  <c:v>0</c:v>
                </c:pt>
                <c:pt idx="1">
                  <c:v>1.5909090909090908</c:v>
                </c:pt>
                <c:pt idx="2">
                  <c:v>2.7272727272727271</c:v>
                </c:pt>
                <c:pt idx="3">
                  <c:v>4.5454545454545459</c:v>
                </c:pt>
                <c:pt idx="4">
                  <c:v>9.0909090909090917</c:v>
                </c:pt>
              </c:numCache>
            </c:numRef>
          </c:xVal>
          <c:yVal>
            <c:numRef>
              <c:f>Titrage_sel!$C$11:$C$15</c:f>
              <c:numCache>
                <c:formatCode>General</c:formatCode>
                <c:ptCount val="5"/>
                <c:pt idx="0">
                  <c:v>373</c:v>
                </c:pt>
                <c:pt idx="1">
                  <c:v>3340</c:v>
                </c:pt>
                <c:pt idx="2">
                  <c:v>5320</c:v>
                </c:pt>
                <c:pt idx="3">
                  <c:v>8260</c:v>
                </c:pt>
                <c:pt idx="4">
                  <c:v>16290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A5-47DA-B1B8-B796102C51B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835892388451444"/>
                  <c:y val="-8.1223753280839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Titrage_sel!$B$22:$B$25</c:f>
              <c:numCache>
                <c:formatCode>General</c:formatCode>
                <c:ptCount val="4"/>
                <c:pt idx="0">
                  <c:v>0</c:v>
                </c:pt>
                <c:pt idx="1">
                  <c:v>2.2451728783116303</c:v>
                </c:pt>
                <c:pt idx="2">
                  <c:v>4.9892730629147337</c:v>
                </c:pt>
                <c:pt idx="3">
                  <c:v>7.9828369006635738</c:v>
                </c:pt>
              </c:numCache>
            </c:numRef>
          </c:xVal>
          <c:yVal>
            <c:numRef>
              <c:f>Titrage_sel!$C$22:$C$25</c:f>
              <c:numCache>
                <c:formatCode>General</c:formatCode>
                <c:ptCount val="4"/>
                <c:pt idx="0">
                  <c:v>372</c:v>
                </c:pt>
                <c:pt idx="1">
                  <c:v>3960</c:v>
                </c:pt>
                <c:pt idx="2">
                  <c:v>8240</c:v>
                </c:pt>
                <c:pt idx="3">
                  <c:v>11980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A5-47DA-B1B8-B796102C51B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216819772528432"/>
                  <c:y val="0.11429425488480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Titrage_sel!$B$37:$B$42</c:f>
              <c:numCache>
                <c:formatCode>General</c:formatCode>
                <c:ptCount val="6"/>
                <c:pt idx="0">
                  <c:v>0</c:v>
                </c:pt>
                <c:pt idx="1">
                  <c:v>1.2806049333780527</c:v>
                </c:pt>
                <c:pt idx="2">
                  <c:v>2.7746440223191144</c:v>
                </c:pt>
                <c:pt idx="3">
                  <c:v>4.4516266731713259</c:v>
                </c:pt>
                <c:pt idx="4">
                  <c:v>6.4640058541939807</c:v>
                </c:pt>
                <c:pt idx="5">
                  <c:v>9.2386498765130938</c:v>
                </c:pt>
              </c:numCache>
            </c:numRef>
          </c:xVal>
          <c:yVal>
            <c:numRef>
              <c:f>Titrage_sel!$C$37:$C$42</c:f>
              <c:numCache>
                <c:formatCode>General</c:formatCode>
                <c:ptCount val="6"/>
                <c:pt idx="0">
                  <c:v>355</c:v>
                </c:pt>
                <c:pt idx="1">
                  <c:v>2630</c:v>
                </c:pt>
                <c:pt idx="2">
                  <c:v>5280</c:v>
                </c:pt>
                <c:pt idx="3">
                  <c:v>8060</c:v>
                </c:pt>
                <c:pt idx="4">
                  <c:v>11420</c:v>
                </c:pt>
                <c:pt idx="5">
                  <c:v>16060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C6-41DB-9820-5C1363A7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00272"/>
        <c:axId val="649300752"/>
      </c:scatterChart>
      <c:valAx>
        <c:axId val="64930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300752"/>
        <c:crosses val="autoZero"/>
        <c:crossBetween val="midCat"/>
      </c:valAx>
      <c:valAx>
        <c:axId val="6493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30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Debit_Gouille_haut!$C$1</c:f>
              <c:strCache>
                <c:ptCount val="1"/>
                <c:pt idx="0">
                  <c:v>Concentration (kg/m3)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Debit_Gouille_haut!$A:$A</c:f>
              <c:strCache>
                <c:ptCount val="364"/>
                <c:pt idx="0">
                  <c:v>t(s)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</c:strCache>
            </c:strRef>
          </c:xVal>
          <c:yVal>
            <c:numRef>
              <c:f>Debit_Gouille_haut!$C:$C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5.7471264367816091E-4</c:v>
                </c:pt>
                <c:pt idx="43">
                  <c:v>2.2988505747126436E-3</c:v>
                </c:pt>
                <c:pt idx="44">
                  <c:v>1.3218390804597701E-2</c:v>
                </c:pt>
                <c:pt idx="45">
                  <c:v>1.896551724137931E-2</c:v>
                </c:pt>
                <c:pt idx="46">
                  <c:v>1.7816091954022988E-2</c:v>
                </c:pt>
                <c:pt idx="47">
                  <c:v>2.6436781609195402E-2</c:v>
                </c:pt>
                <c:pt idx="48">
                  <c:v>3.9655172413793106E-2</c:v>
                </c:pt>
                <c:pt idx="49">
                  <c:v>2.6436781609195402E-2</c:v>
                </c:pt>
                <c:pt idx="50">
                  <c:v>4.5977011494252873E-2</c:v>
                </c:pt>
                <c:pt idx="51">
                  <c:v>5.057471264367816E-2</c:v>
                </c:pt>
                <c:pt idx="52">
                  <c:v>6.6666666666666666E-2</c:v>
                </c:pt>
                <c:pt idx="53">
                  <c:v>7.6436781609195398E-2</c:v>
                </c:pt>
                <c:pt idx="54">
                  <c:v>7.1264367816091953E-2</c:v>
                </c:pt>
                <c:pt idx="55">
                  <c:v>7.988505747126437E-2</c:v>
                </c:pt>
                <c:pt idx="56">
                  <c:v>9.3103448275862075E-2</c:v>
                </c:pt>
                <c:pt idx="57">
                  <c:v>7.4137931034482754E-2</c:v>
                </c:pt>
                <c:pt idx="58">
                  <c:v>8.9080459770114945E-2</c:v>
                </c:pt>
                <c:pt idx="59">
                  <c:v>8.2183908045977014E-2</c:v>
                </c:pt>
                <c:pt idx="60">
                  <c:v>7.7586206896551727E-2</c:v>
                </c:pt>
                <c:pt idx="61">
                  <c:v>9.1954022988505746E-2</c:v>
                </c:pt>
                <c:pt idx="62">
                  <c:v>9.6551724137931033E-2</c:v>
                </c:pt>
                <c:pt idx="63">
                  <c:v>9.1379310344827588E-2</c:v>
                </c:pt>
                <c:pt idx="64">
                  <c:v>9.5977011494252876E-2</c:v>
                </c:pt>
                <c:pt idx="65">
                  <c:v>9.0804597701149431E-2</c:v>
                </c:pt>
                <c:pt idx="66">
                  <c:v>8.8505747126436787E-2</c:v>
                </c:pt>
                <c:pt idx="67">
                  <c:v>9.022988505747126E-2</c:v>
                </c:pt>
                <c:pt idx="68">
                  <c:v>8.9655172413793102E-2</c:v>
                </c:pt>
                <c:pt idx="69">
                  <c:v>8.7931034482758616E-2</c:v>
                </c:pt>
                <c:pt idx="70">
                  <c:v>8.6781609195402301E-2</c:v>
                </c:pt>
                <c:pt idx="71">
                  <c:v>8.4482758620689657E-2</c:v>
                </c:pt>
                <c:pt idx="72">
                  <c:v>8.1609195402298856E-2</c:v>
                </c:pt>
                <c:pt idx="73">
                  <c:v>7.8160919540229884E-2</c:v>
                </c:pt>
                <c:pt idx="74">
                  <c:v>7.6436781609195398E-2</c:v>
                </c:pt>
                <c:pt idx="75">
                  <c:v>7.586206896551724E-2</c:v>
                </c:pt>
                <c:pt idx="76">
                  <c:v>7.586206896551724E-2</c:v>
                </c:pt>
                <c:pt idx="77">
                  <c:v>7.6436781609195398E-2</c:v>
                </c:pt>
                <c:pt idx="78">
                  <c:v>7.6436781609195398E-2</c:v>
                </c:pt>
                <c:pt idx="79">
                  <c:v>7.7011494252873569E-2</c:v>
                </c:pt>
                <c:pt idx="80">
                  <c:v>7.6436781609195398E-2</c:v>
                </c:pt>
                <c:pt idx="81">
                  <c:v>7.6436781609195398E-2</c:v>
                </c:pt>
                <c:pt idx="82">
                  <c:v>7.5287356321839083E-2</c:v>
                </c:pt>
                <c:pt idx="83">
                  <c:v>7.3563218390804597E-2</c:v>
                </c:pt>
                <c:pt idx="84">
                  <c:v>7.183908045977011E-2</c:v>
                </c:pt>
                <c:pt idx="85">
                  <c:v>7.1264367816091953E-2</c:v>
                </c:pt>
                <c:pt idx="86">
                  <c:v>7.183908045977011E-2</c:v>
                </c:pt>
                <c:pt idx="87">
                  <c:v>7.183908045977011E-2</c:v>
                </c:pt>
                <c:pt idx="88">
                  <c:v>7.0689655172413796E-2</c:v>
                </c:pt>
                <c:pt idx="89">
                  <c:v>6.8965517241379309E-2</c:v>
                </c:pt>
                <c:pt idx="90">
                  <c:v>6.7241379310344823E-2</c:v>
                </c:pt>
                <c:pt idx="91">
                  <c:v>6.5517241379310351E-2</c:v>
                </c:pt>
                <c:pt idx="92">
                  <c:v>6.3793103448275865E-2</c:v>
                </c:pt>
                <c:pt idx="93">
                  <c:v>6.2068965517241378E-2</c:v>
                </c:pt>
                <c:pt idx="94">
                  <c:v>5.9770114942528735E-2</c:v>
                </c:pt>
                <c:pt idx="95">
                  <c:v>5.8620689655172413E-2</c:v>
                </c:pt>
                <c:pt idx="96">
                  <c:v>5.6321839080459769E-2</c:v>
                </c:pt>
                <c:pt idx="97">
                  <c:v>5.6321839080459769E-2</c:v>
                </c:pt>
                <c:pt idx="98">
                  <c:v>5.5172413793103448E-2</c:v>
                </c:pt>
                <c:pt idx="99">
                  <c:v>5.4022988505747126E-2</c:v>
                </c:pt>
                <c:pt idx="100">
                  <c:v>5.4022988505747126E-2</c:v>
                </c:pt>
                <c:pt idx="101">
                  <c:v>5.459770114942529E-2</c:v>
                </c:pt>
                <c:pt idx="102">
                  <c:v>5.5172413793103448E-2</c:v>
                </c:pt>
                <c:pt idx="103">
                  <c:v>5.5172413793103448E-2</c:v>
                </c:pt>
                <c:pt idx="104">
                  <c:v>5.5172413793103448E-2</c:v>
                </c:pt>
                <c:pt idx="105">
                  <c:v>5.5747126436781612E-2</c:v>
                </c:pt>
                <c:pt idx="106">
                  <c:v>5.459770114942529E-2</c:v>
                </c:pt>
                <c:pt idx="107">
                  <c:v>5.4022988505747126E-2</c:v>
                </c:pt>
                <c:pt idx="108">
                  <c:v>5.3448275862068968E-2</c:v>
                </c:pt>
                <c:pt idx="109">
                  <c:v>5.2873563218390804E-2</c:v>
                </c:pt>
                <c:pt idx="110">
                  <c:v>5.1724137931034482E-2</c:v>
                </c:pt>
                <c:pt idx="111">
                  <c:v>5.1724137931034482E-2</c:v>
                </c:pt>
                <c:pt idx="112">
                  <c:v>5.2298850574712646E-2</c:v>
                </c:pt>
                <c:pt idx="113">
                  <c:v>5.1149425287356325E-2</c:v>
                </c:pt>
                <c:pt idx="114">
                  <c:v>5.1149425287356325E-2</c:v>
                </c:pt>
                <c:pt idx="115">
                  <c:v>5.1149425287356325E-2</c:v>
                </c:pt>
                <c:pt idx="116">
                  <c:v>5.057471264367816E-2</c:v>
                </c:pt>
                <c:pt idx="117">
                  <c:v>0.05</c:v>
                </c:pt>
                <c:pt idx="118">
                  <c:v>4.9425287356321838E-2</c:v>
                </c:pt>
                <c:pt idx="119">
                  <c:v>4.9425287356321838E-2</c:v>
                </c:pt>
                <c:pt idx="120">
                  <c:v>4.8850574712643681E-2</c:v>
                </c:pt>
                <c:pt idx="121">
                  <c:v>4.8850574712643681E-2</c:v>
                </c:pt>
                <c:pt idx="122">
                  <c:v>4.9425287356321838E-2</c:v>
                </c:pt>
                <c:pt idx="123">
                  <c:v>4.8850574712643681E-2</c:v>
                </c:pt>
                <c:pt idx="124">
                  <c:v>4.9425287356321838E-2</c:v>
                </c:pt>
                <c:pt idx="125">
                  <c:v>4.9425287356321838E-2</c:v>
                </c:pt>
                <c:pt idx="126">
                  <c:v>4.9425287356321838E-2</c:v>
                </c:pt>
                <c:pt idx="127">
                  <c:v>4.9425287356321838E-2</c:v>
                </c:pt>
                <c:pt idx="128">
                  <c:v>4.8850574712643681E-2</c:v>
                </c:pt>
                <c:pt idx="129">
                  <c:v>4.9425287356321838E-2</c:v>
                </c:pt>
                <c:pt idx="130">
                  <c:v>4.8850574712643681E-2</c:v>
                </c:pt>
                <c:pt idx="131">
                  <c:v>4.8850574712643681E-2</c:v>
                </c:pt>
                <c:pt idx="132">
                  <c:v>4.8850574712643681E-2</c:v>
                </c:pt>
                <c:pt idx="133">
                  <c:v>4.8850574712643681E-2</c:v>
                </c:pt>
                <c:pt idx="134">
                  <c:v>4.8275862068965517E-2</c:v>
                </c:pt>
                <c:pt idx="135">
                  <c:v>4.7701149425287359E-2</c:v>
                </c:pt>
                <c:pt idx="136">
                  <c:v>4.7126436781609195E-2</c:v>
                </c:pt>
                <c:pt idx="137">
                  <c:v>4.6551724137931037E-2</c:v>
                </c:pt>
                <c:pt idx="138">
                  <c:v>4.6551724137931037E-2</c:v>
                </c:pt>
                <c:pt idx="139">
                  <c:v>4.5977011494252873E-2</c:v>
                </c:pt>
                <c:pt idx="140">
                  <c:v>4.5977011494252873E-2</c:v>
                </c:pt>
                <c:pt idx="141">
                  <c:v>4.5402298850574715E-2</c:v>
                </c:pt>
                <c:pt idx="142">
                  <c:v>4.5402298850574715E-2</c:v>
                </c:pt>
                <c:pt idx="143">
                  <c:v>4.5402298850574715E-2</c:v>
                </c:pt>
                <c:pt idx="144">
                  <c:v>4.5402298850574715E-2</c:v>
                </c:pt>
                <c:pt idx="145">
                  <c:v>4.5977011494252873E-2</c:v>
                </c:pt>
                <c:pt idx="146">
                  <c:v>4.5977011494252873E-2</c:v>
                </c:pt>
                <c:pt idx="147">
                  <c:v>4.5402298850574715E-2</c:v>
                </c:pt>
                <c:pt idx="148">
                  <c:v>4.5402298850574715E-2</c:v>
                </c:pt>
                <c:pt idx="149">
                  <c:v>4.5402298850574715E-2</c:v>
                </c:pt>
                <c:pt idx="150">
                  <c:v>4.4827586206896551E-2</c:v>
                </c:pt>
                <c:pt idx="151">
                  <c:v>4.4827586206896551E-2</c:v>
                </c:pt>
                <c:pt idx="152">
                  <c:v>4.4252873563218394E-2</c:v>
                </c:pt>
                <c:pt idx="153">
                  <c:v>4.4252873563218394E-2</c:v>
                </c:pt>
                <c:pt idx="154">
                  <c:v>4.3678160919540229E-2</c:v>
                </c:pt>
                <c:pt idx="155">
                  <c:v>4.3103448275862072E-2</c:v>
                </c:pt>
                <c:pt idx="156">
                  <c:v>4.2528735632183907E-2</c:v>
                </c:pt>
                <c:pt idx="157">
                  <c:v>4.195402298850575E-2</c:v>
                </c:pt>
                <c:pt idx="158">
                  <c:v>4.1379310344827586E-2</c:v>
                </c:pt>
                <c:pt idx="159">
                  <c:v>4.0804597701149428E-2</c:v>
                </c:pt>
                <c:pt idx="160">
                  <c:v>4.0229885057471264E-2</c:v>
                </c:pt>
                <c:pt idx="161">
                  <c:v>4.0229885057471264E-2</c:v>
                </c:pt>
                <c:pt idx="162">
                  <c:v>3.9655172413793106E-2</c:v>
                </c:pt>
                <c:pt idx="163">
                  <c:v>3.9080459770114942E-2</c:v>
                </c:pt>
                <c:pt idx="164">
                  <c:v>3.8505747126436785E-2</c:v>
                </c:pt>
                <c:pt idx="165">
                  <c:v>3.7356321839080463E-2</c:v>
                </c:pt>
                <c:pt idx="166">
                  <c:v>3.5057471264367819E-2</c:v>
                </c:pt>
                <c:pt idx="167">
                  <c:v>3.2183908045977011E-2</c:v>
                </c:pt>
                <c:pt idx="168">
                  <c:v>2.9885057471264367E-2</c:v>
                </c:pt>
                <c:pt idx="169">
                  <c:v>2.8735632183908046E-2</c:v>
                </c:pt>
                <c:pt idx="170">
                  <c:v>2.7586206896551724E-2</c:v>
                </c:pt>
                <c:pt idx="171">
                  <c:v>2.7011494252873563E-2</c:v>
                </c:pt>
                <c:pt idx="172">
                  <c:v>2.7586206896551724E-2</c:v>
                </c:pt>
                <c:pt idx="173">
                  <c:v>2.8160919540229885E-2</c:v>
                </c:pt>
                <c:pt idx="174">
                  <c:v>2.8160919540229885E-2</c:v>
                </c:pt>
                <c:pt idx="175">
                  <c:v>2.6436781609195402E-2</c:v>
                </c:pt>
                <c:pt idx="176">
                  <c:v>2.528735632183908E-2</c:v>
                </c:pt>
                <c:pt idx="177">
                  <c:v>2.4137931034482758E-2</c:v>
                </c:pt>
                <c:pt idx="178">
                  <c:v>2.2988505747126436E-2</c:v>
                </c:pt>
                <c:pt idx="179">
                  <c:v>2.1839080459770115E-2</c:v>
                </c:pt>
                <c:pt idx="180">
                  <c:v>2.1264367816091954E-2</c:v>
                </c:pt>
                <c:pt idx="181">
                  <c:v>2.0114942528735632E-2</c:v>
                </c:pt>
                <c:pt idx="182">
                  <c:v>1.9540229885057471E-2</c:v>
                </c:pt>
                <c:pt idx="183">
                  <c:v>2.0114942528735632E-2</c:v>
                </c:pt>
                <c:pt idx="184">
                  <c:v>1.9540229885057471E-2</c:v>
                </c:pt>
                <c:pt idx="185">
                  <c:v>1.896551724137931E-2</c:v>
                </c:pt>
                <c:pt idx="186">
                  <c:v>1.8390804597701149E-2</c:v>
                </c:pt>
                <c:pt idx="187">
                  <c:v>1.7816091954022988E-2</c:v>
                </c:pt>
                <c:pt idx="188">
                  <c:v>1.7241379310344827E-2</c:v>
                </c:pt>
                <c:pt idx="189">
                  <c:v>1.7241379310344827E-2</c:v>
                </c:pt>
                <c:pt idx="190">
                  <c:v>1.6666666666666666E-2</c:v>
                </c:pt>
                <c:pt idx="191">
                  <c:v>1.6666666666666666E-2</c:v>
                </c:pt>
                <c:pt idx="192">
                  <c:v>1.6091954022988506E-2</c:v>
                </c:pt>
                <c:pt idx="193">
                  <c:v>1.6666666666666666E-2</c:v>
                </c:pt>
                <c:pt idx="194">
                  <c:v>1.6091954022988506E-2</c:v>
                </c:pt>
                <c:pt idx="195">
                  <c:v>1.6091954022988506E-2</c:v>
                </c:pt>
                <c:pt idx="196">
                  <c:v>1.4942528735632184E-2</c:v>
                </c:pt>
                <c:pt idx="197">
                  <c:v>1.3793103448275862E-2</c:v>
                </c:pt>
                <c:pt idx="198">
                  <c:v>1.3793103448275862E-2</c:v>
                </c:pt>
                <c:pt idx="199">
                  <c:v>1.3218390804597701E-2</c:v>
                </c:pt>
                <c:pt idx="200">
                  <c:v>1.3218390804597701E-2</c:v>
                </c:pt>
                <c:pt idx="201">
                  <c:v>1.3218390804597701E-2</c:v>
                </c:pt>
                <c:pt idx="202">
                  <c:v>1.264367816091954E-2</c:v>
                </c:pt>
                <c:pt idx="203">
                  <c:v>1.3218390804597701E-2</c:v>
                </c:pt>
                <c:pt idx="204">
                  <c:v>1.3793103448275862E-2</c:v>
                </c:pt>
                <c:pt idx="205">
                  <c:v>1.3793103448275862E-2</c:v>
                </c:pt>
                <c:pt idx="206">
                  <c:v>1.3793103448275862E-2</c:v>
                </c:pt>
                <c:pt idx="207">
                  <c:v>1.3218390804597701E-2</c:v>
                </c:pt>
                <c:pt idx="208">
                  <c:v>1.3218390804597701E-2</c:v>
                </c:pt>
                <c:pt idx="209">
                  <c:v>1.264367816091954E-2</c:v>
                </c:pt>
                <c:pt idx="210">
                  <c:v>1.264367816091954E-2</c:v>
                </c:pt>
                <c:pt idx="211">
                  <c:v>1.264367816091954E-2</c:v>
                </c:pt>
                <c:pt idx="212">
                  <c:v>1.1494252873563218E-2</c:v>
                </c:pt>
                <c:pt idx="213">
                  <c:v>1.1494252873563218E-2</c:v>
                </c:pt>
                <c:pt idx="214">
                  <c:v>1.1494252873563218E-2</c:v>
                </c:pt>
                <c:pt idx="215">
                  <c:v>1.1494252873563218E-2</c:v>
                </c:pt>
                <c:pt idx="216">
                  <c:v>1.1494252873563218E-2</c:v>
                </c:pt>
                <c:pt idx="217">
                  <c:v>1.0919540229885057E-2</c:v>
                </c:pt>
                <c:pt idx="218">
                  <c:v>1.1494252873563218E-2</c:v>
                </c:pt>
                <c:pt idx="219">
                  <c:v>1.1494252873563218E-2</c:v>
                </c:pt>
                <c:pt idx="220">
                  <c:v>1.1494252873563218E-2</c:v>
                </c:pt>
                <c:pt idx="221">
                  <c:v>1.1494252873563218E-2</c:v>
                </c:pt>
                <c:pt idx="222">
                  <c:v>1.1494252873563218E-2</c:v>
                </c:pt>
                <c:pt idx="223">
                  <c:v>1.1494252873563218E-2</c:v>
                </c:pt>
                <c:pt idx="224">
                  <c:v>1.1494252873563218E-2</c:v>
                </c:pt>
                <c:pt idx="225">
                  <c:v>1.1494252873563218E-2</c:v>
                </c:pt>
                <c:pt idx="226">
                  <c:v>1.1494252873563218E-2</c:v>
                </c:pt>
                <c:pt idx="227">
                  <c:v>1.1494252873563218E-2</c:v>
                </c:pt>
                <c:pt idx="228">
                  <c:v>1.1494252873563218E-2</c:v>
                </c:pt>
                <c:pt idx="229">
                  <c:v>1.0919540229885057E-2</c:v>
                </c:pt>
                <c:pt idx="230">
                  <c:v>1.0919540229885057E-2</c:v>
                </c:pt>
                <c:pt idx="231">
                  <c:v>1.0919540229885057E-2</c:v>
                </c:pt>
                <c:pt idx="232">
                  <c:v>1.0919540229885057E-2</c:v>
                </c:pt>
                <c:pt idx="233">
                  <c:v>1.0919540229885057E-2</c:v>
                </c:pt>
                <c:pt idx="234">
                  <c:v>1.0919540229885057E-2</c:v>
                </c:pt>
                <c:pt idx="235">
                  <c:v>1.0919540229885057E-2</c:v>
                </c:pt>
                <c:pt idx="236">
                  <c:v>1.0919540229885057E-2</c:v>
                </c:pt>
                <c:pt idx="237">
                  <c:v>1.0919540229885057E-2</c:v>
                </c:pt>
                <c:pt idx="238">
                  <c:v>1.0919540229885057E-2</c:v>
                </c:pt>
                <c:pt idx="239">
                  <c:v>1.0919540229885057E-2</c:v>
                </c:pt>
                <c:pt idx="240">
                  <c:v>1.0919540229885057E-2</c:v>
                </c:pt>
                <c:pt idx="241">
                  <c:v>1.0919540229885057E-2</c:v>
                </c:pt>
                <c:pt idx="242">
                  <c:v>1.0919540229885057E-2</c:v>
                </c:pt>
                <c:pt idx="243">
                  <c:v>1.0919540229885057E-2</c:v>
                </c:pt>
                <c:pt idx="244">
                  <c:v>1.0919540229885057E-2</c:v>
                </c:pt>
                <c:pt idx="245">
                  <c:v>1.0919540229885057E-2</c:v>
                </c:pt>
                <c:pt idx="246">
                  <c:v>1.0919540229885057E-2</c:v>
                </c:pt>
                <c:pt idx="247">
                  <c:v>1.0919540229885057E-2</c:v>
                </c:pt>
                <c:pt idx="248">
                  <c:v>1.1494252873563218E-2</c:v>
                </c:pt>
                <c:pt idx="249">
                  <c:v>1.0919540229885057E-2</c:v>
                </c:pt>
                <c:pt idx="250">
                  <c:v>1.0919540229885057E-2</c:v>
                </c:pt>
                <c:pt idx="251">
                  <c:v>1.0919540229885057E-2</c:v>
                </c:pt>
                <c:pt idx="252">
                  <c:v>1.1494252873563218E-2</c:v>
                </c:pt>
                <c:pt idx="253">
                  <c:v>1.1494252873563218E-2</c:v>
                </c:pt>
                <c:pt idx="254">
                  <c:v>1.1494252873563218E-2</c:v>
                </c:pt>
                <c:pt idx="255">
                  <c:v>1.1494252873563218E-2</c:v>
                </c:pt>
                <c:pt idx="256">
                  <c:v>1.1494252873563218E-2</c:v>
                </c:pt>
                <c:pt idx="257">
                  <c:v>1.1494252873563218E-2</c:v>
                </c:pt>
                <c:pt idx="258">
                  <c:v>1.1494252873563218E-2</c:v>
                </c:pt>
                <c:pt idx="259">
                  <c:v>1.1494252873563218E-2</c:v>
                </c:pt>
                <c:pt idx="260">
                  <c:v>1.1494252873563218E-2</c:v>
                </c:pt>
                <c:pt idx="261">
                  <c:v>1.2068965517241379E-2</c:v>
                </c:pt>
                <c:pt idx="262">
                  <c:v>1.1494252873563218E-2</c:v>
                </c:pt>
                <c:pt idx="263">
                  <c:v>1.1494252873563218E-2</c:v>
                </c:pt>
                <c:pt idx="264">
                  <c:v>1.1494252873563218E-2</c:v>
                </c:pt>
                <c:pt idx="265">
                  <c:v>1.1494252873563218E-2</c:v>
                </c:pt>
                <c:pt idx="266">
                  <c:v>1.1494252873563218E-2</c:v>
                </c:pt>
                <c:pt idx="267">
                  <c:v>1.1494252873563218E-2</c:v>
                </c:pt>
                <c:pt idx="268">
                  <c:v>1.1494252873563218E-2</c:v>
                </c:pt>
                <c:pt idx="269">
                  <c:v>1.0919540229885057E-2</c:v>
                </c:pt>
                <c:pt idx="270">
                  <c:v>1.0919540229885057E-2</c:v>
                </c:pt>
                <c:pt idx="271">
                  <c:v>1.0344827586206896E-2</c:v>
                </c:pt>
                <c:pt idx="272">
                  <c:v>1.0344827586206896E-2</c:v>
                </c:pt>
                <c:pt idx="273">
                  <c:v>1.0344827586206896E-2</c:v>
                </c:pt>
                <c:pt idx="274">
                  <c:v>9.7701149425287355E-3</c:v>
                </c:pt>
                <c:pt idx="275">
                  <c:v>9.7701149425287355E-3</c:v>
                </c:pt>
                <c:pt idx="276">
                  <c:v>9.7701149425287355E-3</c:v>
                </c:pt>
                <c:pt idx="277">
                  <c:v>9.7701149425287355E-3</c:v>
                </c:pt>
                <c:pt idx="278">
                  <c:v>9.1954022988505746E-3</c:v>
                </c:pt>
                <c:pt idx="279">
                  <c:v>9.1954022988505746E-3</c:v>
                </c:pt>
                <c:pt idx="280">
                  <c:v>9.1954022988505746E-3</c:v>
                </c:pt>
                <c:pt idx="281">
                  <c:v>9.1954022988505746E-3</c:v>
                </c:pt>
                <c:pt idx="282">
                  <c:v>9.1954022988505746E-3</c:v>
                </c:pt>
                <c:pt idx="283">
                  <c:v>9.1954022988505746E-3</c:v>
                </c:pt>
                <c:pt idx="284">
                  <c:v>8.6206896551724137E-3</c:v>
                </c:pt>
                <c:pt idx="285">
                  <c:v>8.0459770114942528E-3</c:v>
                </c:pt>
                <c:pt idx="286">
                  <c:v>8.0459770114942528E-3</c:v>
                </c:pt>
                <c:pt idx="287">
                  <c:v>8.0459770114942528E-3</c:v>
                </c:pt>
                <c:pt idx="288">
                  <c:v>7.4712643678160919E-3</c:v>
                </c:pt>
                <c:pt idx="289">
                  <c:v>7.4712643678160919E-3</c:v>
                </c:pt>
                <c:pt idx="290">
                  <c:v>6.8965517241379309E-3</c:v>
                </c:pt>
                <c:pt idx="291">
                  <c:v>6.8965517241379309E-3</c:v>
                </c:pt>
                <c:pt idx="292">
                  <c:v>6.8965517241379309E-3</c:v>
                </c:pt>
                <c:pt idx="293">
                  <c:v>6.32183908045977E-3</c:v>
                </c:pt>
                <c:pt idx="294">
                  <c:v>6.32183908045977E-3</c:v>
                </c:pt>
                <c:pt idx="295">
                  <c:v>6.8965517241379309E-3</c:v>
                </c:pt>
                <c:pt idx="296">
                  <c:v>6.32183908045977E-3</c:v>
                </c:pt>
                <c:pt idx="297">
                  <c:v>6.32183908045977E-3</c:v>
                </c:pt>
                <c:pt idx="298">
                  <c:v>6.32183908045977E-3</c:v>
                </c:pt>
                <c:pt idx="299">
                  <c:v>6.32183908045977E-3</c:v>
                </c:pt>
                <c:pt idx="300">
                  <c:v>6.32183908045977E-3</c:v>
                </c:pt>
                <c:pt idx="301">
                  <c:v>6.32183908045977E-3</c:v>
                </c:pt>
                <c:pt idx="302">
                  <c:v>6.32183908045977E-3</c:v>
                </c:pt>
                <c:pt idx="303">
                  <c:v>5.7471264367816091E-3</c:v>
                </c:pt>
                <c:pt idx="304">
                  <c:v>6.32183908045977E-3</c:v>
                </c:pt>
                <c:pt idx="305">
                  <c:v>6.32183908045977E-3</c:v>
                </c:pt>
                <c:pt idx="306">
                  <c:v>6.32183908045977E-3</c:v>
                </c:pt>
                <c:pt idx="307">
                  <c:v>6.32183908045977E-3</c:v>
                </c:pt>
                <c:pt idx="308">
                  <c:v>6.32183908045977E-3</c:v>
                </c:pt>
                <c:pt idx="309">
                  <c:v>5.7471264367816091E-3</c:v>
                </c:pt>
                <c:pt idx="310">
                  <c:v>5.7471264367816091E-3</c:v>
                </c:pt>
                <c:pt idx="311">
                  <c:v>5.7471264367816091E-3</c:v>
                </c:pt>
                <c:pt idx="312">
                  <c:v>5.7471264367816091E-3</c:v>
                </c:pt>
                <c:pt idx="313">
                  <c:v>5.1724137931034482E-3</c:v>
                </c:pt>
                <c:pt idx="314">
                  <c:v>5.1724137931034482E-3</c:v>
                </c:pt>
                <c:pt idx="315">
                  <c:v>4.5977011494252873E-3</c:v>
                </c:pt>
                <c:pt idx="316">
                  <c:v>4.5977011494252873E-3</c:v>
                </c:pt>
                <c:pt idx="317">
                  <c:v>4.5977011494252873E-3</c:v>
                </c:pt>
                <c:pt idx="318">
                  <c:v>4.5977011494252873E-3</c:v>
                </c:pt>
                <c:pt idx="319">
                  <c:v>4.5977011494252873E-3</c:v>
                </c:pt>
                <c:pt idx="320">
                  <c:v>4.5977011494252873E-3</c:v>
                </c:pt>
                <c:pt idx="321">
                  <c:v>4.5977011494252873E-3</c:v>
                </c:pt>
                <c:pt idx="322">
                  <c:v>4.5977011494252873E-3</c:v>
                </c:pt>
                <c:pt idx="323">
                  <c:v>4.5977011494252873E-3</c:v>
                </c:pt>
                <c:pt idx="324">
                  <c:v>4.5977011494252873E-3</c:v>
                </c:pt>
                <c:pt idx="325">
                  <c:v>4.5977011494252873E-3</c:v>
                </c:pt>
                <c:pt idx="326">
                  <c:v>4.0229885057471264E-3</c:v>
                </c:pt>
                <c:pt idx="327">
                  <c:v>4.0229885057471264E-3</c:v>
                </c:pt>
                <c:pt idx="328">
                  <c:v>3.4482758620689655E-3</c:v>
                </c:pt>
                <c:pt idx="329">
                  <c:v>4.0229885057471264E-3</c:v>
                </c:pt>
                <c:pt idx="330">
                  <c:v>5.1724137931034482E-3</c:v>
                </c:pt>
                <c:pt idx="331">
                  <c:v>4.5977011494252873E-3</c:v>
                </c:pt>
                <c:pt idx="332">
                  <c:v>4.5977011494252873E-3</c:v>
                </c:pt>
                <c:pt idx="333">
                  <c:v>4.0229885057471264E-3</c:v>
                </c:pt>
                <c:pt idx="334">
                  <c:v>4.0229885057471264E-3</c:v>
                </c:pt>
                <c:pt idx="335">
                  <c:v>4.0229885057471264E-3</c:v>
                </c:pt>
                <c:pt idx="336">
                  <c:v>4.0229885057471264E-3</c:v>
                </c:pt>
                <c:pt idx="337">
                  <c:v>4.0229885057471264E-3</c:v>
                </c:pt>
                <c:pt idx="338">
                  <c:v>3.4482758620689655E-3</c:v>
                </c:pt>
                <c:pt idx="339">
                  <c:v>3.4482758620689655E-3</c:v>
                </c:pt>
                <c:pt idx="340">
                  <c:v>3.4482758620689655E-3</c:v>
                </c:pt>
                <c:pt idx="341">
                  <c:v>3.4482758620689655E-3</c:v>
                </c:pt>
                <c:pt idx="342">
                  <c:v>3.4482758620689655E-3</c:v>
                </c:pt>
                <c:pt idx="343">
                  <c:v>2.8735632183908046E-3</c:v>
                </c:pt>
                <c:pt idx="344">
                  <c:v>2.8735632183908046E-3</c:v>
                </c:pt>
                <c:pt idx="345">
                  <c:v>3.4482758620689655E-3</c:v>
                </c:pt>
                <c:pt idx="346">
                  <c:v>3.4482758620689655E-3</c:v>
                </c:pt>
                <c:pt idx="347">
                  <c:v>4.0229885057471264E-3</c:v>
                </c:pt>
                <c:pt idx="348">
                  <c:v>4.0229885057471264E-3</c:v>
                </c:pt>
                <c:pt idx="349">
                  <c:v>4.0229885057471264E-3</c:v>
                </c:pt>
                <c:pt idx="350">
                  <c:v>4.0229885057471264E-3</c:v>
                </c:pt>
                <c:pt idx="351">
                  <c:v>3.4482758620689655E-3</c:v>
                </c:pt>
                <c:pt idx="352">
                  <c:v>3.4482758620689655E-3</c:v>
                </c:pt>
                <c:pt idx="353">
                  <c:v>2.8735632183908046E-3</c:v>
                </c:pt>
                <c:pt idx="354">
                  <c:v>2.8735632183908046E-3</c:v>
                </c:pt>
                <c:pt idx="355">
                  <c:v>2.8735632183908046E-3</c:v>
                </c:pt>
                <c:pt idx="356">
                  <c:v>2.2988505747126436E-3</c:v>
                </c:pt>
                <c:pt idx="357">
                  <c:v>2.8735632183908046E-3</c:v>
                </c:pt>
                <c:pt idx="358">
                  <c:v>2.8735632183908046E-3</c:v>
                </c:pt>
                <c:pt idx="359">
                  <c:v>2.8735632183908046E-3</c:v>
                </c:pt>
                <c:pt idx="360">
                  <c:v>2.8735632183908046E-3</c:v>
                </c:pt>
                <c:pt idx="361">
                  <c:v>2.8735632183908046E-3</c:v>
                </c:pt>
                <c:pt idx="362">
                  <c:v>2.8735632183908046E-3</c:v>
                </c:pt>
                <c:pt idx="363">
                  <c:v>2.8735632183908046E-3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69-4F7E-9A4D-D1EEDE59E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786591"/>
        <c:axId val="1341788031"/>
      </c:scatterChart>
      <c:valAx>
        <c:axId val="1341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8031"/>
        <c:crosses val="autoZero"/>
        <c:crossBetween val="midCat"/>
      </c:valAx>
      <c:valAx>
        <c:axId val="13417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Debit_Gouille_bas!$C$1</c:f>
              <c:strCache>
                <c:ptCount val="1"/>
                <c:pt idx="0">
                  <c:v>Concentration (kg/m3)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Debit_Gouille_bas!$A:$A</c:f>
              <c:strCache>
                <c:ptCount val="206"/>
                <c:pt idx="0">
                  <c:v>t(s)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</c:strCache>
            </c:strRef>
          </c:xVal>
          <c:yVal>
            <c:numRef>
              <c:f>Debit_Gouille_bas!$C:$C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5.7471264367816091E-4</c:v>
                </c:pt>
                <c:pt idx="40">
                  <c:v>1.1494252873563218E-3</c:v>
                </c:pt>
                <c:pt idx="41">
                  <c:v>1.3218390804597701E-2</c:v>
                </c:pt>
                <c:pt idx="42">
                  <c:v>3.1609195402298854E-2</c:v>
                </c:pt>
                <c:pt idx="43">
                  <c:v>6.6091954022988508E-2</c:v>
                </c:pt>
                <c:pt idx="44">
                  <c:v>6.6091954022988508E-2</c:v>
                </c:pt>
                <c:pt idx="45">
                  <c:v>0.25919540229885057</c:v>
                </c:pt>
                <c:pt idx="46">
                  <c:v>0.32988505747126434</c:v>
                </c:pt>
                <c:pt idx="47">
                  <c:v>0.32988505747126434</c:v>
                </c:pt>
                <c:pt idx="48">
                  <c:v>0.62011494252873567</c:v>
                </c:pt>
                <c:pt idx="49">
                  <c:v>0.70632183908045976</c:v>
                </c:pt>
                <c:pt idx="50">
                  <c:v>0.68908045977011489</c:v>
                </c:pt>
                <c:pt idx="51">
                  <c:v>0.65459770114942528</c:v>
                </c:pt>
                <c:pt idx="52">
                  <c:v>0.63735632183908042</c:v>
                </c:pt>
                <c:pt idx="53">
                  <c:v>0.61206896551724133</c:v>
                </c:pt>
                <c:pt idx="54">
                  <c:v>0.58678160919540234</c:v>
                </c:pt>
                <c:pt idx="55">
                  <c:v>0.54885057471264365</c:v>
                </c:pt>
                <c:pt idx="56">
                  <c:v>0.49655172413793103</c:v>
                </c:pt>
                <c:pt idx="57">
                  <c:v>0.45804597701149424</c:v>
                </c:pt>
                <c:pt idx="58">
                  <c:v>0.40459770114942528</c:v>
                </c:pt>
                <c:pt idx="59">
                  <c:v>0.36954022988505747</c:v>
                </c:pt>
                <c:pt idx="60">
                  <c:v>0.34425287356321838</c:v>
                </c:pt>
                <c:pt idx="61">
                  <c:v>0.32011494252873562</c:v>
                </c:pt>
                <c:pt idx="62">
                  <c:v>0.28563218390804596</c:v>
                </c:pt>
                <c:pt idx="63">
                  <c:v>0.27183908045977012</c:v>
                </c:pt>
                <c:pt idx="64">
                  <c:v>0.24827586206896551</c:v>
                </c:pt>
                <c:pt idx="65">
                  <c:v>0.18678160919540229</c:v>
                </c:pt>
                <c:pt idx="66">
                  <c:v>0.19022988505747127</c:v>
                </c:pt>
                <c:pt idx="67">
                  <c:v>0.1557471264367816</c:v>
                </c:pt>
                <c:pt idx="68">
                  <c:v>0.13045977011494253</c:v>
                </c:pt>
                <c:pt idx="69">
                  <c:v>0.1339080459770115</c:v>
                </c:pt>
                <c:pt idx="70">
                  <c:v>0.11436781609195402</c:v>
                </c:pt>
                <c:pt idx="71">
                  <c:v>8.39080459770115E-2</c:v>
                </c:pt>
                <c:pt idx="72">
                  <c:v>9.5977011494252876E-2</c:v>
                </c:pt>
                <c:pt idx="73">
                  <c:v>7.586206896551724E-2</c:v>
                </c:pt>
                <c:pt idx="74">
                  <c:v>6.7816091954022995E-2</c:v>
                </c:pt>
                <c:pt idx="75">
                  <c:v>5.8620689655172413E-2</c:v>
                </c:pt>
                <c:pt idx="76">
                  <c:v>6.2643678160919536E-2</c:v>
                </c:pt>
                <c:pt idx="77">
                  <c:v>5.9195402298850577E-2</c:v>
                </c:pt>
                <c:pt idx="78">
                  <c:v>4.7701149425287359E-2</c:v>
                </c:pt>
                <c:pt idx="79">
                  <c:v>6.0344827586206899E-2</c:v>
                </c:pt>
                <c:pt idx="80">
                  <c:v>4.5977011494252873E-2</c:v>
                </c:pt>
                <c:pt idx="81">
                  <c:v>5.8620689655172413E-2</c:v>
                </c:pt>
                <c:pt idx="82">
                  <c:v>3.6206896551724141E-2</c:v>
                </c:pt>
                <c:pt idx="83">
                  <c:v>4.3103448275862072E-2</c:v>
                </c:pt>
                <c:pt idx="84">
                  <c:v>2.7586206896551724E-2</c:v>
                </c:pt>
                <c:pt idx="85">
                  <c:v>2.5862068965517241E-2</c:v>
                </c:pt>
                <c:pt idx="86">
                  <c:v>2.5862068965517241E-2</c:v>
                </c:pt>
                <c:pt idx="87">
                  <c:v>2.5862068965517241E-2</c:v>
                </c:pt>
                <c:pt idx="88">
                  <c:v>2.5862068965517241E-2</c:v>
                </c:pt>
                <c:pt idx="89">
                  <c:v>2.2413793103448276E-2</c:v>
                </c:pt>
                <c:pt idx="90">
                  <c:v>1.8390804597701149E-2</c:v>
                </c:pt>
                <c:pt idx="91">
                  <c:v>1.7241379310344827E-2</c:v>
                </c:pt>
                <c:pt idx="92">
                  <c:v>1.6666666666666666E-2</c:v>
                </c:pt>
                <c:pt idx="93">
                  <c:v>1.6666666666666666E-2</c:v>
                </c:pt>
                <c:pt idx="94">
                  <c:v>1.4942528735632184E-2</c:v>
                </c:pt>
                <c:pt idx="95">
                  <c:v>1.3793103448275862E-2</c:v>
                </c:pt>
                <c:pt idx="96">
                  <c:v>1.3218390804597701E-2</c:v>
                </c:pt>
                <c:pt idx="97">
                  <c:v>1.3218390804597701E-2</c:v>
                </c:pt>
                <c:pt idx="98">
                  <c:v>1.3218390804597701E-2</c:v>
                </c:pt>
                <c:pt idx="99">
                  <c:v>1.264367816091954E-2</c:v>
                </c:pt>
                <c:pt idx="100">
                  <c:v>1.1494252873563218E-2</c:v>
                </c:pt>
                <c:pt idx="101">
                  <c:v>1.2068965517241379E-2</c:v>
                </c:pt>
                <c:pt idx="102">
                  <c:v>1.1494252873563218E-2</c:v>
                </c:pt>
                <c:pt idx="103">
                  <c:v>1.1494252873563218E-2</c:v>
                </c:pt>
                <c:pt idx="104">
                  <c:v>1.1494252873563218E-2</c:v>
                </c:pt>
                <c:pt idx="105">
                  <c:v>1.0919540229885057E-2</c:v>
                </c:pt>
                <c:pt idx="106">
                  <c:v>1.0344827586206896E-2</c:v>
                </c:pt>
                <c:pt idx="107">
                  <c:v>1.0344827586206896E-2</c:v>
                </c:pt>
                <c:pt idx="108">
                  <c:v>9.7701149425287355E-3</c:v>
                </c:pt>
                <c:pt idx="109">
                  <c:v>9.1954022988505746E-3</c:v>
                </c:pt>
                <c:pt idx="110">
                  <c:v>8.6206896551724137E-3</c:v>
                </c:pt>
                <c:pt idx="111">
                  <c:v>8.0459770114942528E-3</c:v>
                </c:pt>
                <c:pt idx="112">
                  <c:v>8.0459770114942528E-3</c:v>
                </c:pt>
                <c:pt idx="113">
                  <c:v>8.0459770114942528E-3</c:v>
                </c:pt>
                <c:pt idx="114">
                  <c:v>7.4712643678160919E-3</c:v>
                </c:pt>
                <c:pt idx="115">
                  <c:v>7.4712643678160919E-3</c:v>
                </c:pt>
                <c:pt idx="116">
                  <c:v>7.4712643678160919E-3</c:v>
                </c:pt>
                <c:pt idx="117">
                  <c:v>7.4712643678160919E-3</c:v>
                </c:pt>
                <c:pt idx="118">
                  <c:v>6.8965517241379309E-3</c:v>
                </c:pt>
                <c:pt idx="119">
                  <c:v>6.8965517241379309E-3</c:v>
                </c:pt>
                <c:pt idx="120">
                  <c:v>6.8965517241379309E-3</c:v>
                </c:pt>
                <c:pt idx="121">
                  <c:v>6.8965517241379309E-3</c:v>
                </c:pt>
                <c:pt idx="122">
                  <c:v>6.32183908045977E-3</c:v>
                </c:pt>
                <c:pt idx="123">
                  <c:v>6.32183908045977E-3</c:v>
                </c:pt>
                <c:pt idx="124">
                  <c:v>6.32183908045977E-3</c:v>
                </c:pt>
                <c:pt idx="125">
                  <c:v>5.7471264367816091E-3</c:v>
                </c:pt>
                <c:pt idx="126">
                  <c:v>5.7471264367816091E-3</c:v>
                </c:pt>
                <c:pt idx="127">
                  <c:v>5.7471264367816091E-3</c:v>
                </c:pt>
                <c:pt idx="128">
                  <c:v>5.7471264367816091E-3</c:v>
                </c:pt>
                <c:pt idx="129">
                  <c:v>5.7471264367816091E-3</c:v>
                </c:pt>
                <c:pt idx="130">
                  <c:v>5.1724137931034482E-3</c:v>
                </c:pt>
                <c:pt idx="131">
                  <c:v>5.1724137931034482E-3</c:v>
                </c:pt>
                <c:pt idx="132">
                  <c:v>5.1724137931034482E-3</c:v>
                </c:pt>
                <c:pt idx="133">
                  <c:v>5.1724137931034482E-3</c:v>
                </c:pt>
                <c:pt idx="134">
                  <c:v>5.1724137931034482E-3</c:v>
                </c:pt>
                <c:pt idx="135">
                  <c:v>5.1724137931034482E-3</c:v>
                </c:pt>
                <c:pt idx="136">
                  <c:v>5.1724137931034482E-3</c:v>
                </c:pt>
                <c:pt idx="137">
                  <c:v>4.5977011494252873E-3</c:v>
                </c:pt>
                <c:pt idx="138">
                  <c:v>4.5977011494252873E-3</c:v>
                </c:pt>
                <c:pt idx="139">
                  <c:v>4.5977011494252873E-3</c:v>
                </c:pt>
                <c:pt idx="140">
                  <c:v>4.5977011494252873E-3</c:v>
                </c:pt>
                <c:pt idx="141">
                  <c:v>4.5977011494252873E-3</c:v>
                </c:pt>
                <c:pt idx="142">
                  <c:v>4.5977011494252873E-3</c:v>
                </c:pt>
                <c:pt idx="143">
                  <c:v>4.0229885057471264E-3</c:v>
                </c:pt>
                <c:pt idx="144">
                  <c:v>4.0229885057471264E-3</c:v>
                </c:pt>
                <c:pt idx="145">
                  <c:v>4.0229885057471264E-3</c:v>
                </c:pt>
                <c:pt idx="146">
                  <c:v>4.0229885057471264E-3</c:v>
                </c:pt>
                <c:pt idx="147">
                  <c:v>4.0229885057471264E-3</c:v>
                </c:pt>
                <c:pt idx="148">
                  <c:v>4.0229885057471264E-3</c:v>
                </c:pt>
                <c:pt idx="149">
                  <c:v>4.0229885057471264E-3</c:v>
                </c:pt>
                <c:pt idx="150">
                  <c:v>4.0229885057471264E-3</c:v>
                </c:pt>
                <c:pt idx="151">
                  <c:v>4.0229885057471264E-3</c:v>
                </c:pt>
                <c:pt idx="152">
                  <c:v>4.0229885057471264E-3</c:v>
                </c:pt>
                <c:pt idx="153">
                  <c:v>4.0229885057471264E-3</c:v>
                </c:pt>
                <c:pt idx="154">
                  <c:v>3.4482758620689655E-3</c:v>
                </c:pt>
                <c:pt idx="155">
                  <c:v>3.4482758620689655E-3</c:v>
                </c:pt>
                <c:pt idx="156">
                  <c:v>3.4482758620689655E-3</c:v>
                </c:pt>
                <c:pt idx="157">
                  <c:v>3.4482758620689655E-3</c:v>
                </c:pt>
                <c:pt idx="158">
                  <c:v>3.4482758620689655E-3</c:v>
                </c:pt>
                <c:pt idx="159">
                  <c:v>3.4482758620689655E-3</c:v>
                </c:pt>
                <c:pt idx="160">
                  <c:v>3.4482758620689655E-3</c:v>
                </c:pt>
                <c:pt idx="161">
                  <c:v>3.4482758620689655E-3</c:v>
                </c:pt>
                <c:pt idx="162">
                  <c:v>2.8735632183908046E-3</c:v>
                </c:pt>
                <c:pt idx="163">
                  <c:v>2.8735632183908046E-3</c:v>
                </c:pt>
                <c:pt idx="164">
                  <c:v>2.8735632183908046E-3</c:v>
                </c:pt>
                <c:pt idx="165">
                  <c:v>2.8735632183908046E-3</c:v>
                </c:pt>
                <c:pt idx="166">
                  <c:v>2.8735632183908046E-3</c:v>
                </c:pt>
                <c:pt idx="167">
                  <c:v>2.8735632183908046E-3</c:v>
                </c:pt>
                <c:pt idx="168">
                  <c:v>2.8735632183908046E-3</c:v>
                </c:pt>
                <c:pt idx="169">
                  <c:v>2.8735632183908046E-3</c:v>
                </c:pt>
                <c:pt idx="170">
                  <c:v>2.8735632183908046E-3</c:v>
                </c:pt>
                <c:pt idx="171">
                  <c:v>2.8735632183908046E-3</c:v>
                </c:pt>
                <c:pt idx="172">
                  <c:v>2.8735632183908046E-3</c:v>
                </c:pt>
                <c:pt idx="173">
                  <c:v>2.8735632183908046E-3</c:v>
                </c:pt>
                <c:pt idx="174">
                  <c:v>2.8735632183908046E-3</c:v>
                </c:pt>
                <c:pt idx="175">
                  <c:v>2.8735632183908046E-3</c:v>
                </c:pt>
                <c:pt idx="176">
                  <c:v>2.8735632183908046E-3</c:v>
                </c:pt>
                <c:pt idx="177">
                  <c:v>2.8735632183908046E-3</c:v>
                </c:pt>
                <c:pt idx="178">
                  <c:v>2.8735632183908046E-3</c:v>
                </c:pt>
                <c:pt idx="179">
                  <c:v>2.8735632183908046E-3</c:v>
                </c:pt>
                <c:pt idx="180">
                  <c:v>2.8735632183908046E-3</c:v>
                </c:pt>
                <c:pt idx="181">
                  <c:v>2.2988505747126436E-3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3-4FB5-95BA-E967C16E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786591"/>
        <c:axId val="1341788031"/>
      </c:scatterChart>
      <c:valAx>
        <c:axId val="1341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8031"/>
        <c:crosses val="autoZero"/>
        <c:crossBetween val="midCat"/>
      </c:valAx>
      <c:valAx>
        <c:axId val="13417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Debit_Retort!$C$1</c:f>
              <c:strCache>
                <c:ptCount val="1"/>
                <c:pt idx="0">
                  <c:v>Concentration (kg/m3)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Debit_Retort!$A:$A</c:f>
              <c:strCache>
                <c:ptCount val="178"/>
                <c:pt idx="0">
                  <c:v>t(s)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</c:strCache>
            </c:strRef>
          </c:xVal>
          <c:yVal>
            <c:numRef>
              <c:f>Debit_Retort!$C:$C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5.7471264367816091E-4</c:v>
                </c:pt>
                <c:pt idx="48">
                  <c:v>1.1494252873563218E-3</c:v>
                </c:pt>
                <c:pt idx="49">
                  <c:v>2.2988505747126436E-3</c:v>
                </c:pt>
                <c:pt idx="50">
                  <c:v>6.32183908045977E-3</c:v>
                </c:pt>
                <c:pt idx="51">
                  <c:v>1.264367816091954E-2</c:v>
                </c:pt>
                <c:pt idx="52">
                  <c:v>2.7586206896551724E-2</c:v>
                </c:pt>
                <c:pt idx="53">
                  <c:v>3.7356321839080463E-2</c:v>
                </c:pt>
                <c:pt idx="54">
                  <c:v>3.7356321839080463E-2</c:v>
                </c:pt>
                <c:pt idx="55">
                  <c:v>7.0689655172413796E-2</c:v>
                </c:pt>
                <c:pt idx="56">
                  <c:v>8.9080459770114945E-2</c:v>
                </c:pt>
                <c:pt idx="57">
                  <c:v>8.9080459770114945E-2</c:v>
                </c:pt>
                <c:pt idx="58">
                  <c:v>0.14310344827586208</c:v>
                </c:pt>
                <c:pt idx="59">
                  <c:v>0.15402298850574714</c:v>
                </c:pt>
                <c:pt idx="60">
                  <c:v>0.19655172413793104</c:v>
                </c:pt>
                <c:pt idx="61">
                  <c:v>0.22413793103448276</c:v>
                </c:pt>
                <c:pt idx="62">
                  <c:v>0.24885057471264369</c:v>
                </c:pt>
                <c:pt idx="63">
                  <c:v>0.26609195402298852</c:v>
                </c:pt>
                <c:pt idx="64">
                  <c:v>0.30229885057471262</c:v>
                </c:pt>
                <c:pt idx="65">
                  <c:v>0.32586206896551723</c:v>
                </c:pt>
                <c:pt idx="66">
                  <c:v>0.33735632183908049</c:v>
                </c:pt>
                <c:pt idx="67">
                  <c:v>0.34770114942528735</c:v>
                </c:pt>
                <c:pt idx="68">
                  <c:v>0.34770114942528735</c:v>
                </c:pt>
                <c:pt idx="69">
                  <c:v>0.35862068965517241</c:v>
                </c:pt>
                <c:pt idx="70">
                  <c:v>0.36264367816091952</c:v>
                </c:pt>
                <c:pt idx="71">
                  <c:v>0.35574712643678164</c:v>
                </c:pt>
                <c:pt idx="72">
                  <c:v>0.35287356321839081</c:v>
                </c:pt>
                <c:pt idx="73">
                  <c:v>0.35747126436781607</c:v>
                </c:pt>
                <c:pt idx="74">
                  <c:v>0.34425287356321838</c:v>
                </c:pt>
                <c:pt idx="75">
                  <c:v>0.34482758620689657</c:v>
                </c:pt>
                <c:pt idx="76">
                  <c:v>0.32528735632183908</c:v>
                </c:pt>
                <c:pt idx="77">
                  <c:v>0.32528735632183908</c:v>
                </c:pt>
                <c:pt idx="78">
                  <c:v>0.32528735632183908</c:v>
                </c:pt>
                <c:pt idx="79">
                  <c:v>0.32528735632183908</c:v>
                </c:pt>
                <c:pt idx="80">
                  <c:v>0.27471264367816089</c:v>
                </c:pt>
                <c:pt idx="81">
                  <c:v>0.2614942528735632</c:v>
                </c:pt>
                <c:pt idx="82">
                  <c:v>0.25172413793103449</c:v>
                </c:pt>
                <c:pt idx="83">
                  <c:v>0.23448275862068965</c:v>
                </c:pt>
                <c:pt idx="84">
                  <c:v>0.22586206896551725</c:v>
                </c:pt>
                <c:pt idx="85">
                  <c:v>0.21149425287356322</c:v>
                </c:pt>
                <c:pt idx="86">
                  <c:v>0.18793103448275861</c:v>
                </c:pt>
                <c:pt idx="87">
                  <c:v>0.17873563218390803</c:v>
                </c:pt>
                <c:pt idx="88">
                  <c:v>0.16551724137931034</c:v>
                </c:pt>
                <c:pt idx="89">
                  <c:v>0.15402298850574714</c:v>
                </c:pt>
                <c:pt idx="90">
                  <c:v>0.14310344827586208</c:v>
                </c:pt>
                <c:pt idx="91">
                  <c:v>0.13333333333333333</c:v>
                </c:pt>
                <c:pt idx="92">
                  <c:v>0.12413793103448276</c:v>
                </c:pt>
                <c:pt idx="93">
                  <c:v>0.11724137931034483</c:v>
                </c:pt>
                <c:pt idx="94">
                  <c:v>0.10862068965517241</c:v>
                </c:pt>
                <c:pt idx="95">
                  <c:v>0.10172413793103448</c:v>
                </c:pt>
                <c:pt idx="96">
                  <c:v>9.3103448275862075E-2</c:v>
                </c:pt>
                <c:pt idx="97">
                  <c:v>8.5057471264367815E-2</c:v>
                </c:pt>
                <c:pt idx="98">
                  <c:v>7.9310344827586213E-2</c:v>
                </c:pt>
                <c:pt idx="99">
                  <c:v>7.3563218390804597E-2</c:v>
                </c:pt>
                <c:pt idx="100">
                  <c:v>6.8965517241379309E-2</c:v>
                </c:pt>
                <c:pt idx="101">
                  <c:v>6.4367816091954022E-2</c:v>
                </c:pt>
                <c:pt idx="102">
                  <c:v>5.8045977011494256E-2</c:v>
                </c:pt>
                <c:pt idx="103">
                  <c:v>5.5747126436781612E-2</c:v>
                </c:pt>
                <c:pt idx="104">
                  <c:v>0.05</c:v>
                </c:pt>
                <c:pt idx="105">
                  <c:v>4.6551724137931037E-2</c:v>
                </c:pt>
                <c:pt idx="106">
                  <c:v>4.2528735632183907E-2</c:v>
                </c:pt>
                <c:pt idx="107">
                  <c:v>4.0229885057471264E-2</c:v>
                </c:pt>
                <c:pt idx="108">
                  <c:v>3.5632183908045977E-2</c:v>
                </c:pt>
                <c:pt idx="109">
                  <c:v>3.3333333333333333E-2</c:v>
                </c:pt>
                <c:pt idx="110">
                  <c:v>3.1034482758620689E-2</c:v>
                </c:pt>
                <c:pt idx="111">
                  <c:v>2.8735632183908046E-2</c:v>
                </c:pt>
                <c:pt idx="112">
                  <c:v>2.7011494252873563E-2</c:v>
                </c:pt>
                <c:pt idx="113">
                  <c:v>2.4137931034482758E-2</c:v>
                </c:pt>
                <c:pt idx="114">
                  <c:v>2.2413793103448276E-2</c:v>
                </c:pt>
                <c:pt idx="115">
                  <c:v>2.0689655172413793E-2</c:v>
                </c:pt>
                <c:pt idx="116">
                  <c:v>2.0114942528735632E-2</c:v>
                </c:pt>
                <c:pt idx="117">
                  <c:v>1.7816091954022988E-2</c:v>
                </c:pt>
                <c:pt idx="118">
                  <c:v>1.6666666666666666E-2</c:v>
                </c:pt>
                <c:pt idx="119">
                  <c:v>1.5517241379310345E-2</c:v>
                </c:pt>
                <c:pt idx="120">
                  <c:v>1.4942528735632184E-2</c:v>
                </c:pt>
                <c:pt idx="121">
                  <c:v>1.3793103448275862E-2</c:v>
                </c:pt>
                <c:pt idx="122">
                  <c:v>1.264367816091954E-2</c:v>
                </c:pt>
                <c:pt idx="123">
                  <c:v>1.1494252873563218E-2</c:v>
                </c:pt>
                <c:pt idx="124">
                  <c:v>1.0919540229885057E-2</c:v>
                </c:pt>
                <c:pt idx="125">
                  <c:v>1.0344827586206896E-2</c:v>
                </c:pt>
                <c:pt idx="126">
                  <c:v>9.7701149425287355E-3</c:v>
                </c:pt>
                <c:pt idx="127">
                  <c:v>8.6206896551724137E-3</c:v>
                </c:pt>
                <c:pt idx="128">
                  <c:v>8.0459770114942528E-3</c:v>
                </c:pt>
                <c:pt idx="129">
                  <c:v>6.8965517241379309E-3</c:v>
                </c:pt>
                <c:pt idx="130">
                  <c:v>6.32183908045977E-3</c:v>
                </c:pt>
                <c:pt idx="131">
                  <c:v>6.32183908045977E-3</c:v>
                </c:pt>
                <c:pt idx="132">
                  <c:v>5.7471264367816091E-3</c:v>
                </c:pt>
                <c:pt idx="133">
                  <c:v>5.1724137931034482E-3</c:v>
                </c:pt>
                <c:pt idx="134">
                  <c:v>5.1724137931034482E-3</c:v>
                </c:pt>
                <c:pt idx="135">
                  <c:v>4.5977011494252873E-3</c:v>
                </c:pt>
                <c:pt idx="136">
                  <c:v>4.5977011494252873E-3</c:v>
                </c:pt>
                <c:pt idx="137">
                  <c:v>4.0229885057471264E-3</c:v>
                </c:pt>
                <c:pt idx="138">
                  <c:v>4.0229885057471264E-3</c:v>
                </c:pt>
                <c:pt idx="139">
                  <c:v>4.0229885057471264E-3</c:v>
                </c:pt>
                <c:pt idx="140">
                  <c:v>3.4482758620689655E-3</c:v>
                </c:pt>
                <c:pt idx="141">
                  <c:v>3.4482758620689655E-3</c:v>
                </c:pt>
                <c:pt idx="142">
                  <c:v>3.4482758620689655E-3</c:v>
                </c:pt>
                <c:pt idx="143">
                  <c:v>2.8735632183908046E-3</c:v>
                </c:pt>
                <c:pt idx="144">
                  <c:v>2.8735632183908046E-3</c:v>
                </c:pt>
                <c:pt idx="145">
                  <c:v>2.8735632183908046E-3</c:v>
                </c:pt>
                <c:pt idx="146">
                  <c:v>2.8735632183908046E-3</c:v>
                </c:pt>
                <c:pt idx="147">
                  <c:v>2.2988505747126436E-3</c:v>
                </c:pt>
                <c:pt idx="148">
                  <c:v>2.2988505747126436E-3</c:v>
                </c:pt>
                <c:pt idx="149">
                  <c:v>2.2988505747126436E-3</c:v>
                </c:pt>
                <c:pt idx="150">
                  <c:v>2.2988505747126436E-3</c:v>
                </c:pt>
                <c:pt idx="151">
                  <c:v>2.2988505747126436E-3</c:v>
                </c:pt>
                <c:pt idx="152">
                  <c:v>2.2988505747126436E-3</c:v>
                </c:pt>
                <c:pt idx="153">
                  <c:v>2.2988505747126436E-3</c:v>
                </c:pt>
                <c:pt idx="154">
                  <c:v>1.7241379310344827E-3</c:v>
                </c:pt>
                <c:pt idx="155">
                  <c:v>1.7241379310344827E-3</c:v>
                </c:pt>
                <c:pt idx="156">
                  <c:v>1.7241379310344827E-3</c:v>
                </c:pt>
                <c:pt idx="157">
                  <c:v>1.7241379310344827E-3</c:v>
                </c:pt>
                <c:pt idx="158">
                  <c:v>1.7241379310344827E-3</c:v>
                </c:pt>
                <c:pt idx="159">
                  <c:v>1.7241379310344827E-3</c:v>
                </c:pt>
                <c:pt idx="160">
                  <c:v>1.7241379310344827E-3</c:v>
                </c:pt>
                <c:pt idx="161">
                  <c:v>1.7241379310344827E-3</c:v>
                </c:pt>
                <c:pt idx="162">
                  <c:v>1.7241379310344827E-3</c:v>
                </c:pt>
                <c:pt idx="163">
                  <c:v>1.7241379310344827E-3</c:v>
                </c:pt>
                <c:pt idx="164">
                  <c:v>1.7241379310344827E-3</c:v>
                </c:pt>
                <c:pt idx="165">
                  <c:v>1.7241379310344827E-3</c:v>
                </c:pt>
                <c:pt idx="166">
                  <c:v>1.1494252873563218E-3</c:v>
                </c:pt>
                <c:pt idx="167">
                  <c:v>1.1494252873563218E-3</c:v>
                </c:pt>
                <c:pt idx="168">
                  <c:v>1.1494252873563218E-3</c:v>
                </c:pt>
                <c:pt idx="169">
                  <c:v>1.1494252873563218E-3</c:v>
                </c:pt>
                <c:pt idx="170">
                  <c:v>1.1494252873563218E-3</c:v>
                </c:pt>
                <c:pt idx="171">
                  <c:v>1.1494252873563218E-3</c:v>
                </c:pt>
                <c:pt idx="172">
                  <c:v>1.1494252873563218E-3</c:v>
                </c:pt>
                <c:pt idx="173">
                  <c:v>1.1494252873563218E-3</c:v>
                </c:pt>
                <c:pt idx="174">
                  <c:v>1.1494252873563218E-3</c:v>
                </c:pt>
                <c:pt idx="175">
                  <c:v>1.1494252873563218E-3</c:v>
                </c:pt>
                <c:pt idx="176">
                  <c:v>1.1494252873563218E-3</c:v>
                </c:pt>
                <c:pt idx="177">
                  <c:v>1.1494252873563218E-3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F-47CC-90E9-729190636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786591"/>
        <c:axId val="1341788031"/>
      </c:scatterChart>
      <c:valAx>
        <c:axId val="1341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8031"/>
        <c:crosses val="autoZero"/>
        <c:crossBetween val="midCat"/>
      </c:valAx>
      <c:valAx>
        <c:axId val="13417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178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11</xdr:row>
      <xdr:rowOff>15875</xdr:rowOff>
    </xdr:from>
    <xdr:to>
      <xdr:col>9</xdr:col>
      <xdr:colOff>365125</xdr:colOff>
      <xdr:row>25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04FFC1-6061-FF61-F635-245D34902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587375</xdr:colOff>
      <xdr:row>6</xdr:row>
      <xdr:rowOff>104775</xdr:rowOff>
    </xdr:from>
    <xdr:to>
      <xdr:col>9</xdr:col>
      <xdr:colOff>587375</xdr:colOff>
      <xdr:row>21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0C937E-F1DF-8A29-F66C-60384B678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587375</xdr:colOff>
      <xdr:row>6</xdr:row>
      <xdr:rowOff>104775</xdr:rowOff>
    </xdr:from>
    <xdr:to>
      <xdr:col>9</xdr:col>
      <xdr:colOff>587375</xdr:colOff>
      <xdr:row>21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454359-245F-4514-8E5E-D405BFE82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587375</xdr:colOff>
      <xdr:row>6</xdr:row>
      <xdr:rowOff>104775</xdr:rowOff>
    </xdr:from>
    <xdr:to>
      <xdr:col>9</xdr:col>
      <xdr:colOff>587375</xdr:colOff>
      <xdr:row>21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C65C7-4380-482B-B0F8-9E8AF21CB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4BD4-A021-473F-8C77-551E1FAC1981}">
  <dimension ref="A1:C42"/>
  <sheetViews>
    <sheetView topLeftCell="B4" workbookViewId="0">
      <selection activeCell="C43" sqref="C43"/>
    </sheetView>
  </sheetViews>
  <sheetFormatPr baseColWidth="10" defaultRowHeight="14.5" x14ac:dyDescent="0.35"/>
  <cols>
    <col min="1" max="1" width="12.90625" customWidth="1"/>
    <col min="2" max="2" width="16" customWidth="1"/>
    <col min="3" max="3" width="18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f>A2/$B$6</f>
        <v>0</v>
      </c>
      <c r="C2">
        <v>373</v>
      </c>
    </row>
    <row r="3" spans="1:3" x14ac:dyDescent="0.35">
      <c r="A3">
        <v>1</v>
      </c>
      <c r="B3">
        <f t="shared" ref="B3:B4" si="0">A3/$B$6</f>
        <v>4.7846889952153111</v>
      </c>
      <c r="C3">
        <v>9170</v>
      </c>
    </row>
    <row r="4" spans="1:3" x14ac:dyDescent="0.35">
      <c r="A4">
        <v>2</v>
      </c>
      <c r="B4">
        <f t="shared" si="0"/>
        <v>9.5693779904306222</v>
      </c>
      <c r="C4">
        <v>17220</v>
      </c>
    </row>
    <row r="6" spans="1:3" x14ac:dyDescent="0.35">
      <c r="A6" t="s">
        <v>3</v>
      </c>
      <c r="B6">
        <v>0.20899999999999999</v>
      </c>
    </row>
    <row r="10" spans="1:3" x14ac:dyDescent="0.35">
      <c r="A10" t="s">
        <v>0</v>
      </c>
      <c r="B10" t="s">
        <v>1</v>
      </c>
      <c r="C10" t="s">
        <v>2</v>
      </c>
    </row>
    <row r="11" spans="1:3" x14ac:dyDescent="0.35">
      <c r="A11">
        <v>0</v>
      </c>
      <c r="B11">
        <f>A11/$B$17</f>
        <v>0</v>
      </c>
      <c r="C11">
        <v>373</v>
      </c>
    </row>
    <row r="12" spans="1:3" x14ac:dyDescent="0.35">
      <c r="A12">
        <v>0.35</v>
      </c>
      <c r="B12">
        <f t="shared" ref="B12:B15" si="1">A12/$B$17</f>
        <v>1.5909090909090908</v>
      </c>
      <c r="C12">
        <v>3340</v>
      </c>
    </row>
    <row r="13" spans="1:3" x14ac:dyDescent="0.35">
      <c r="A13">
        <v>0.6</v>
      </c>
      <c r="B13">
        <f t="shared" si="1"/>
        <v>2.7272727272727271</v>
      </c>
      <c r="C13">
        <v>5320</v>
      </c>
    </row>
    <row r="14" spans="1:3" x14ac:dyDescent="0.35">
      <c r="A14">
        <v>1</v>
      </c>
      <c r="B14">
        <f t="shared" si="1"/>
        <v>4.5454545454545459</v>
      </c>
      <c r="C14">
        <v>8260</v>
      </c>
    </row>
    <row r="15" spans="1:3" x14ac:dyDescent="0.35">
      <c r="A15">
        <v>2</v>
      </c>
      <c r="B15">
        <f t="shared" si="1"/>
        <v>9.0909090909090917</v>
      </c>
      <c r="C15">
        <v>16290</v>
      </c>
    </row>
    <row r="17" spans="1:3" x14ac:dyDescent="0.35">
      <c r="A17" t="s">
        <v>3</v>
      </c>
      <c r="B17">
        <v>0.22</v>
      </c>
    </row>
    <row r="21" spans="1:3" x14ac:dyDescent="0.35">
      <c r="A21" t="s">
        <v>0</v>
      </c>
      <c r="B21" t="s">
        <v>1</v>
      </c>
      <c r="C21" t="s">
        <v>2</v>
      </c>
    </row>
    <row r="22" spans="1:3" x14ac:dyDescent="0.35">
      <c r="A22">
        <v>0</v>
      </c>
      <c r="B22">
        <f>A22/$B$27</f>
        <v>0</v>
      </c>
      <c r="C22">
        <v>372</v>
      </c>
    </row>
    <row r="23" spans="1:3" x14ac:dyDescent="0.35">
      <c r="A23">
        <v>0.45</v>
      </c>
      <c r="B23">
        <f t="shared" ref="B23:B25" si="2">A23/$B$27</f>
        <v>2.2451728783116303</v>
      </c>
      <c r="C23">
        <v>3960</v>
      </c>
    </row>
    <row r="24" spans="1:3" x14ac:dyDescent="0.35">
      <c r="A24">
        <v>1</v>
      </c>
      <c r="B24">
        <f t="shared" si="2"/>
        <v>4.9892730629147337</v>
      </c>
      <c r="C24">
        <v>8240</v>
      </c>
    </row>
    <row r="25" spans="1:3" x14ac:dyDescent="0.35">
      <c r="A25">
        <v>1.6</v>
      </c>
      <c r="B25">
        <f t="shared" si="2"/>
        <v>7.9828369006635738</v>
      </c>
      <c r="C25">
        <v>11980</v>
      </c>
    </row>
    <row r="27" spans="1:3" x14ac:dyDescent="0.35">
      <c r="A27" t="s">
        <v>3</v>
      </c>
      <c r="B27">
        <f>(450.43-204-46)/1000</f>
        <v>0.20043</v>
      </c>
    </row>
    <row r="32" spans="1:3" x14ac:dyDescent="0.35">
      <c r="A32" t="s">
        <v>5</v>
      </c>
    </row>
    <row r="34" spans="1:3" x14ac:dyDescent="0.35">
      <c r="A34" t="s">
        <v>4</v>
      </c>
      <c r="B34">
        <v>46.06</v>
      </c>
    </row>
    <row r="35" spans="1:3" x14ac:dyDescent="0.35">
      <c r="A35" t="s">
        <v>6</v>
      </c>
      <c r="B35">
        <f>327.97/1000</f>
        <v>0.32797000000000004</v>
      </c>
    </row>
    <row r="36" spans="1:3" x14ac:dyDescent="0.35">
      <c r="A36" t="s">
        <v>0</v>
      </c>
      <c r="B36" t="s">
        <v>1</v>
      </c>
      <c r="C36" t="s">
        <v>2</v>
      </c>
    </row>
    <row r="37" spans="1:3" x14ac:dyDescent="0.35">
      <c r="A37">
        <v>0</v>
      </c>
      <c r="B37">
        <f>A37/$B$35</f>
        <v>0</v>
      </c>
      <c r="C37">
        <v>355</v>
      </c>
    </row>
    <row r="38" spans="1:3" x14ac:dyDescent="0.35">
      <c r="A38">
        <v>0.42</v>
      </c>
      <c r="B38">
        <f t="shared" ref="B38:B42" si="3">A38/$B$35</f>
        <v>1.2806049333780527</v>
      </c>
      <c r="C38">
        <v>2630</v>
      </c>
    </row>
    <row r="39" spans="1:3" x14ac:dyDescent="0.35">
      <c r="A39">
        <v>0.91</v>
      </c>
      <c r="B39">
        <f t="shared" si="3"/>
        <v>2.7746440223191144</v>
      </c>
      <c r="C39">
        <v>5280</v>
      </c>
    </row>
    <row r="40" spans="1:3" x14ac:dyDescent="0.35">
      <c r="A40">
        <v>1.46</v>
      </c>
      <c r="B40">
        <f t="shared" si="3"/>
        <v>4.4516266731713259</v>
      </c>
      <c r="C40">
        <v>8060</v>
      </c>
    </row>
    <row r="41" spans="1:3" x14ac:dyDescent="0.35">
      <c r="A41">
        <v>2.12</v>
      </c>
      <c r="B41">
        <f t="shared" si="3"/>
        <v>6.4640058541939807</v>
      </c>
      <c r="C41">
        <v>11420</v>
      </c>
    </row>
    <row r="42" spans="1:3" x14ac:dyDescent="0.35">
      <c r="A42">
        <v>3.03</v>
      </c>
      <c r="B42">
        <f t="shared" si="3"/>
        <v>9.2386498765130938</v>
      </c>
      <c r="C42">
        <v>16060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F061-FC9C-4E1B-B838-386E22FD28F8}">
  <dimension ref="A1:G364"/>
  <sheetViews>
    <sheetView tabSelected="1" workbookViewId="0">
      <selection activeCell="C2" sqref="C2"/>
    </sheetView>
  </sheetViews>
  <sheetFormatPr baseColWidth="10" defaultRowHeight="14.5" x14ac:dyDescent="0.35"/>
  <cols>
    <col min="2" max="2" width="17.08984375" customWidth="1"/>
  </cols>
  <sheetData>
    <row r="1" spans="1:7" x14ac:dyDescent="0.35">
      <c r="A1" t="s">
        <v>7</v>
      </c>
      <c r="B1" t="s">
        <v>8</v>
      </c>
      <c r="C1" t="s">
        <v>9</v>
      </c>
    </row>
    <row r="2" spans="1:7" x14ac:dyDescent="0.35">
      <c r="A2">
        <v>1</v>
      </c>
      <c r="B2">
        <v>934</v>
      </c>
      <c r="C2">
        <f>IF((B2-934)/1600&lt;0,0,(B2-934)/1600)</f>
        <v>0</v>
      </c>
    </row>
    <row r="3" spans="1:7" x14ac:dyDescent="0.35">
      <c r="A3">
        <v>2</v>
      </c>
      <c r="B3">
        <v>934</v>
      </c>
      <c r="C3">
        <f t="shared" ref="C3:C66" si="0">IF((B3-934)/1740&lt;0,0,(B3-934)/1740)</f>
        <v>0</v>
      </c>
      <c r="E3" t="s">
        <v>10</v>
      </c>
      <c r="F3">
        <v>2</v>
      </c>
      <c r="G3" t="s">
        <v>13</v>
      </c>
    </row>
    <row r="4" spans="1:7" x14ac:dyDescent="0.35">
      <c r="A4">
        <v>3</v>
      </c>
      <c r="B4">
        <v>934</v>
      </c>
      <c r="C4">
        <f t="shared" si="0"/>
        <v>0</v>
      </c>
      <c r="E4" t="s">
        <v>11</v>
      </c>
      <c r="F4">
        <f>F3/(SUM(C1:C300))</f>
        <v>0.22657725112312027</v>
      </c>
      <c r="G4" t="s">
        <v>12</v>
      </c>
    </row>
    <row r="5" spans="1:7" x14ac:dyDescent="0.35">
      <c r="A5">
        <v>4</v>
      </c>
      <c r="B5">
        <v>934</v>
      </c>
      <c r="C5">
        <f t="shared" si="0"/>
        <v>0</v>
      </c>
      <c r="F5">
        <f>F4*1000</f>
        <v>226.57725112312028</v>
      </c>
      <c r="G5" t="s">
        <v>14</v>
      </c>
    </row>
    <row r="6" spans="1:7" x14ac:dyDescent="0.35">
      <c r="A6">
        <v>5</v>
      </c>
      <c r="B6">
        <v>934</v>
      </c>
      <c r="C6">
        <f t="shared" si="0"/>
        <v>0</v>
      </c>
    </row>
    <row r="7" spans="1:7" x14ac:dyDescent="0.35">
      <c r="A7">
        <v>6</v>
      </c>
      <c r="B7">
        <v>934</v>
      </c>
      <c r="C7">
        <f t="shared" si="0"/>
        <v>0</v>
      </c>
    </row>
    <row r="8" spans="1:7" x14ac:dyDescent="0.35">
      <c r="A8">
        <v>7</v>
      </c>
      <c r="B8">
        <v>934</v>
      </c>
      <c r="C8">
        <f t="shared" si="0"/>
        <v>0</v>
      </c>
    </row>
    <row r="9" spans="1:7" x14ac:dyDescent="0.35">
      <c r="A9">
        <v>8</v>
      </c>
      <c r="B9">
        <v>934</v>
      </c>
      <c r="C9">
        <f t="shared" si="0"/>
        <v>0</v>
      </c>
    </row>
    <row r="10" spans="1:7" x14ac:dyDescent="0.35">
      <c r="A10">
        <v>9</v>
      </c>
      <c r="B10">
        <v>934</v>
      </c>
      <c r="C10">
        <f t="shared" si="0"/>
        <v>0</v>
      </c>
    </row>
    <row r="11" spans="1:7" x14ac:dyDescent="0.35">
      <c r="A11">
        <v>10</v>
      </c>
      <c r="B11">
        <v>934</v>
      </c>
      <c r="C11">
        <f t="shared" si="0"/>
        <v>0</v>
      </c>
    </row>
    <row r="12" spans="1:7" x14ac:dyDescent="0.35">
      <c r="A12">
        <v>11</v>
      </c>
      <c r="B12">
        <v>934</v>
      </c>
      <c r="C12">
        <f t="shared" si="0"/>
        <v>0</v>
      </c>
    </row>
    <row r="13" spans="1:7" x14ac:dyDescent="0.35">
      <c r="A13">
        <v>12</v>
      </c>
      <c r="B13">
        <v>934</v>
      </c>
      <c r="C13">
        <f t="shared" si="0"/>
        <v>0</v>
      </c>
    </row>
    <row r="14" spans="1:7" x14ac:dyDescent="0.35">
      <c r="A14">
        <v>13</v>
      </c>
      <c r="B14">
        <v>934</v>
      </c>
      <c r="C14">
        <f t="shared" si="0"/>
        <v>0</v>
      </c>
    </row>
    <row r="15" spans="1:7" x14ac:dyDescent="0.35">
      <c r="A15">
        <v>14</v>
      </c>
      <c r="B15">
        <v>934</v>
      </c>
      <c r="C15">
        <f t="shared" si="0"/>
        <v>0</v>
      </c>
    </row>
    <row r="16" spans="1:7" x14ac:dyDescent="0.35">
      <c r="A16">
        <v>15</v>
      </c>
      <c r="B16">
        <v>934</v>
      </c>
      <c r="C16">
        <f t="shared" si="0"/>
        <v>0</v>
      </c>
    </row>
    <row r="17" spans="1:3" x14ac:dyDescent="0.35">
      <c r="A17">
        <v>16</v>
      </c>
      <c r="B17">
        <v>934</v>
      </c>
      <c r="C17">
        <f t="shared" si="0"/>
        <v>0</v>
      </c>
    </row>
    <row r="18" spans="1:3" x14ac:dyDescent="0.35">
      <c r="A18">
        <v>17</v>
      </c>
      <c r="B18">
        <v>934</v>
      </c>
      <c r="C18">
        <f t="shared" si="0"/>
        <v>0</v>
      </c>
    </row>
    <row r="19" spans="1:3" x14ac:dyDescent="0.35">
      <c r="A19">
        <v>18</v>
      </c>
      <c r="B19">
        <v>934</v>
      </c>
      <c r="C19">
        <f t="shared" si="0"/>
        <v>0</v>
      </c>
    </row>
    <row r="20" spans="1:3" x14ac:dyDescent="0.35">
      <c r="A20">
        <v>19</v>
      </c>
      <c r="B20">
        <v>934</v>
      </c>
      <c r="C20">
        <f t="shared" si="0"/>
        <v>0</v>
      </c>
    </row>
    <row r="21" spans="1:3" x14ac:dyDescent="0.35">
      <c r="A21">
        <v>20</v>
      </c>
      <c r="B21">
        <v>934</v>
      </c>
      <c r="C21">
        <f t="shared" si="0"/>
        <v>0</v>
      </c>
    </row>
    <row r="22" spans="1:3" x14ac:dyDescent="0.35">
      <c r="A22">
        <v>21</v>
      </c>
      <c r="B22">
        <v>934</v>
      </c>
      <c r="C22">
        <f t="shared" si="0"/>
        <v>0</v>
      </c>
    </row>
    <row r="23" spans="1:3" x14ac:dyDescent="0.35">
      <c r="A23">
        <v>22</v>
      </c>
      <c r="B23">
        <v>934</v>
      </c>
      <c r="C23">
        <f t="shared" si="0"/>
        <v>0</v>
      </c>
    </row>
    <row r="24" spans="1:3" x14ac:dyDescent="0.35">
      <c r="A24">
        <v>23</v>
      </c>
      <c r="B24">
        <v>934</v>
      </c>
      <c r="C24">
        <f t="shared" si="0"/>
        <v>0</v>
      </c>
    </row>
    <row r="25" spans="1:3" x14ac:dyDescent="0.35">
      <c r="A25">
        <v>24</v>
      </c>
      <c r="B25">
        <v>934</v>
      </c>
      <c r="C25">
        <f t="shared" si="0"/>
        <v>0</v>
      </c>
    </row>
    <row r="26" spans="1:3" x14ac:dyDescent="0.35">
      <c r="A26">
        <v>25</v>
      </c>
      <c r="B26">
        <v>934</v>
      </c>
      <c r="C26">
        <f t="shared" si="0"/>
        <v>0</v>
      </c>
    </row>
    <row r="27" spans="1:3" x14ac:dyDescent="0.35">
      <c r="A27">
        <v>26</v>
      </c>
      <c r="B27">
        <v>934</v>
      </c>
      <c r="C27">
        <f t="shared" si="0"/>
        <v>0</v>
      </c>
    </row>
    <row r="28" spans="1:3" x14ac:dyDescent="0.35">
      <c r="A28">
        <v>27</v>
      </c>
      <c r="B28">
        <v>934</v>
      </c>
      <c r="C28">
        <f t="shared" si="0"/>
        <v>0</v>
      </c>
    </row>
    <row r="29" spans="1:3" x14ac:dyDescent="0.35">
      <c r="A29">
        <v>28</v>
      </c>
      <c r="B29">
        <v>934</v>
      </c>
      <c r="C29">
        <f t="shared" si="0"/>
        <v>0</v>
      </c>
    </row>
    <row r="30" spans="1:3" x14ac:dyDescent="0.35">
      <c r="A30">
        <v>29</v>
      </c>
      <c r="B30">
        <v>934</v>
      </c>
      <c r="C30">
        <f t="shared" si="0"/>
        <v>0</v>
      </c>
    </row>
    <row r="31" spans="1:3" x14ac:dyDescent="0.35">
      <c r="A31">
        <v>30</v>
      </c>
      <c r="B31">
        <v>934</v>
      </c>
      <c r="C31">
        <f t="shared" si="0"/>
        <v>0</v>
      </c>
    </row>
    <row r="32" spans="1:3" x14ac:dyDescent="0.35">
      <c r="A32">
        <v>31</v>
      </c>
      <c r="B32">
        <v>934</v>
      </c>
      <c r="C32">
        <f t="shared" si="0"/>
        <v>0</v>
      </c>
    </row>
    <row r="33" spans="1:3" x14ac:dyDescent="0.35">
      <c r="A33">
        <v>32</v>
      </c>
      <c r="B33">
        <v>934</v>
      </c>
      <c r="C33">
        <f t="shared" si="0"/>
        <v>0</v>
      </c>
    </row>
    <row r="34" spans="1:3" x14ac:dyDescent="0.35">
      <c r="A34">
        <v>33</v>
      </c>
      <c r="B34">
        <v>934</v>
      </c>
      <c r="C34">
        <f t="shared" si="0"/>
        <v>0</v>
      </c>
    </row>
    <row r="35" spans="1:3" x14ac:dyDescent="0.35">
      <c r="A35">
        <v>34</v>
      </c>
      <c r="B35">
        <v>934</v>
      </c>
      <c r="C35">
        <f t="shared" si="0"/>
        <v>0</v>
      </c>
    </row>
    <row r="36" spans="1:3" x14ac:dyDescent="0.35">
      <c r="A36">
        <v>35</v>
      </c>
      <c r="B36">
        <v>934</v>
      </c>
      <c r="C36">
        <f t="shared" si="0"/>
        <v>0</v>
      </c>
    </row>
    <row r="37" spans="1:3" x14ac:dyDescent="0.35">
      <c r="A37">
        <v>36</v>
      </c>
      <c r="B37">
        <v>934</v>
      </c>
      <c r="C37">
        <f t="shared" si="0"/>
        <v>0</v>
      </c>
    </row>
    <row r="38" spans="1:3" x14ac:dyDescent="0.35">
      <c r="A38">
        <v>37</v>
      </c>
      <c r="B38">
        <v>934</v>
      </c>
      <c r="C38">
        <f t="shared" si="0"/>
        <v>0</v>
      </c>
    </row>
    <row r="39" spans="1:3" x14ac:dyDescent="0.35">
      <c r="A39">
        <v>38</v>
      </c>
      <c r="B39">
        <v>934</v>
      </c>
      <c r="C39">
        <f t="shared" si="0"/>
        <v>0</v>
      </c>
    </row>
    <row r="40" spans="1:3" x14ac:dyDescent="0.35">
      <c r="A40">
        <v>39</v>
      </c>
      <c r="B40">
        <v>934</v>
      </c>
      <c r="C40">
        <f t="shared" si="0"/>
        <v>0</v>
      </c>
    </row>
    <row r="41" spans="1:3" x14ac:dyDescent="0.35">
      <c r="A41">
        <v>40</v>
      </c>
      <c r="B41">
        <v>934</v>
      </c>
      <c r="C41">
        <f t="shared" si="0"/>
        <v>0</v>
      </c>
    </row>
    <row r="42" spans="1:3" x14ac:dyDescent="0.35">
      <c r="A42">
        <v>41</v>
      </c>
      <c r="B42">
        <v>934</v>
      </c>
      <c r="C42">
        <f t="shared" si="0"/>
        <v>0</v>
      </c>
    </row>
    <row r="43" spans="1:3" x14ac:dyDescent="0.35">
      <c r="A43">
        <v>42</v>
      </c>
      <c r="B43">
        <v>935</v>
      </c>
      <c r="C43">
        <f t="shared" si="0"/>
        <v>5.7471264367816091E-4</v>
      </c>
    </row>
    <row r="44" spans="1:3" x14ac:dyDescent="0.35">
      <c r="A44">
        <v>43</v>
      </c>
      <c r="B44">
        <v>938</v>
      </c>
      <c r="C44">
        <f t="shared" si="0"/>
        <v>2.2988505747126436E-3</v>
      </c>
    </row>
    <row r="45" spans="1:3" x14ac:dyDescent="0.35">
      <c r="A45">
        <v>44</v>
      </c>
      <c r="B45">
        <v>957</v>
      </c>
      <c r="C45">
        <f t="shared" si="0"/>
        <v>1.3218390804597701E-2</v>
      </c>
    </row>
    <row r="46" spans="1:3" x14ac:dyDescent="0.35">
      <c r="A46">
        <v>45</v>
      </c>
      <c r="B46">
        <v>967</v>
      </c>
      <c r="C46">
        <f t="shared" si="0"/>
        <v>1.896551724137931E-2</v>
      </c>
    </row>
    <row r="47" spans="1:3" x14ac:dyDescent="0.35">
      <c r="A47">
        <v>46</v>
      </c>
      <c r="B47">
        <v>965</v>
      </c>
      <c r="C47">
        <f t="shared" si="0"/>
        <v>1.7816091954022988E-2</v>
      </c>
    </row>
    <row r="48" spans="1:3" x14ac:dyDescent="0.35">
      <c r="A48">
        <v>47</v>
      </c>
      <c r="B48">
        <v>980</v>
      </c>
      <c r="C48">
        <f t="shared" si="0"/>
        <v>2.6436781609195402E-2</v>
      </c>
    </row>
    <row r="49" spans="1:3" x14ac:dyDescent="0.35">
      <c r="A49">
        <v>48</v>
      </c>
      <c r="B49">
        <v>1003</v>
      </c>
      <c r="C49">
        <f t="shared" si="0"/>
        <v>3.9655172413793106E-2</v>
      </c>
    </row>
    <row r="50" spans="1:3" x14ac:dyDescent="0.35">
      <c r="A50">
        <v>49</v>
      </c>
      <c r="B50">
        <v>980</v>
      </c>
      <c r="C50">
        <f t="shared" si="0"/>
        <v>2.6436781609195402E-2</v>
      </c>
    </row>
    <row r="51" spans="1:3" x14ac:dyDescent="0.35">
      <c r="A51">
        <v>50</v>
      </c>
      <c r="B51">
        <v>1014</v>
      </c>
      <c r="C51">
        <f t="shared" si="0"/>
        <v>4.5977011494252873E-2</v>
      </c>
    </row>
    <row r="52" spans="1:3" x14ac:dyDescent="0.35">
      <c r="A52">
        <v>51</v>
      </c>
      <c r="B52">
        <v>1022</v>
      </c>
      <c r="C52">
        <f t="shared" si="0"/>
        <v>5.057471264367816E-2</v>
      </c>
    </row>
    <row r="53" spans="1:3" x14ac:dyDescent="0.35">
      <c r="A53">
        <v>52</v>
      </c>
      <c r="B53">
        <v>1050</v>
      </c>
      <c r="C53">
        <f t="shared" si="0"/>
        <v>6.6666666666666666E-2</v>
      </c>
    </row>
    <row r="54" spans="1:3" x14ac:dyDescent="0.35">
      <c r="A54">
        <v>53</v>
      </c>
      <c r="B54">
        <v>1067</v>
      </c>
      <c r="C54">
        <f t="shared" si="0"/>
        <v>7.6436781609195398E-2</v>
      </c>
    </row>
    <row r="55" spans="1:3" x14ac:dyDescent="0.35">
      <c r="A55">
        <v>54</v>
      </c>
      <c r="B55">
        <v>1058</v>
      </c>
      <c r="C55">
        <f t="shared" si="0"/>
        <v>7.1264367816091953E-2</v>
      </c>
    </row>
    <row r="56" spans="1:3" x14ac:dyDescent="0.35">
      <c r="A56">
        <v>55</v>
      </c>
      <c r="B56">
        <v>1073</v>
      </c>
      <c r="C56">
        <f t="shared" si="0"/>
        <v>7.988505747126437E-2</v>
      </c>
    </row>
    <row r="57" spans="1:3" x14ac:dyDescent="0.35">
      <c r="A57">
        <v>56</v>
      </c>
      <c r="B57">
        <v>1096</v>
      </c>
      <c r="C57">
        <f t="shared" si="0"/>
        <v>9.3103448275862075E-2</v>
      </c>
    </row>
    <row r="58" spans="1:3" x14ac:dyDescent="0.35">
      <c r="A58">
        <v>57</v>
      </c>
      <c r="B58">
        <v>1063</v>
      </c>
      <c r="C58">
        <f t="shared" si="0"/>
        <v>7.4137931034482754E-2</v>
      </c>
    </row>
    <row r="59" spans="1:3" x14ac:dyDescent="0.35">
      <c r="A59">
        <v>58</v>
      </c>
      <c r="B59">
        <v>1089</v>
      </c>
      <c r="C59">
        <f t="shared" si="0"/>
        <v>8.9080459770114945E-2</v>
      </c>
    </row>
    <row r="60" spans="1:3" x14ac:dyDescent="0.35">
      <c r="A60">
        <v>59</v>
      </c>
      <c r="B60">
        <v>1077</v>
      </c>
      <c r="C60">
        <f t="shared" si="0"/>
        <v>8.2183908045977014E-2</v>
      </c>
    </row>
    <row r="61" spans="1:3" x14ac:dyDescent="0.35">
      <c r="A61">
        <v>60</v>
      </c>
      <c r="B61">
        <v>1069</v>
      </c>
      <c r="C61">
        <f t="shared" si="0"/>
        <v>7.7586206896551727E-2</v>
      </c>
    </row>
    <row r="62" spans="1:3" x14ac:dyDescent="0.35">
      <c r="A62">
        <v>61</v>
      </c>
      <c r="B62">
        <v>1094</v>
      </c>
      <c r="C62">
        <f t="shared" si="0"/>
        <v>9.1954022988505746E-2</v>
      </c>
    </row>
    <row r="63" spans="1:3" x14ac:dyDescent="0.35">
      <c r="A63">
        <v>62</v>
      </c>
      <c r="B63">
        <v>1102</v>
      </c>
      <c r="C63">
        <f t="shared" si="0"/>
        <v>9.6551724137931033E-2</v>
      </c>
    </row>
    <row r="64" spans="1:3" x14ac:dyDescent="0.35">
      <c r="A64">
        <v>63</v>
      </c>
      <c r="B64">
        <v>1093</v>
      </c>
      <c r="C64">
        <f t="shared" si="0"/>
        <v>9.1379310344827588E-2</v>
      </c>
    </row>
    <row r="65" spans="1:3" x14ac:dyDescent="0.35">
      <c r="A65">
        <v>64</v>
      </c>
      <c r="B65">
        <v>1101</v>
      </c>
      <c r="C65">
        <f t="shared" si="0"/>
        <v>9.5977011494252876E-2</v>
      </c>
    </row>
    <row r="66" spans="1:3" x14ac:dyDescent="0.35">
      <c r="A66">
        <v>65</v>
      </c>
      <c r="B66">
        <v>1092</v>
      </c>
      <c r="C66">
        <f t="shared" si="0"/>
        <v>9.0804597701149431E-2</v>
      </c>
    </row>
    <row r="67" spans="1:3" x14ac:dyDescent="0.35">
      <c r="A67">
        <v>66</v>
      </c>
      <c r="B67">
        <v>1088</v>
      </c>
      <c r="C67">
        <f t="shared" ref="C67:C130" si="1">IF((B67-934)/1740&lt;0,0,(B67-934)/1740)</f>
        <v>8.8505747126436787E-2</v>
      </c>
    </row>
    <row r="68" spans="1:3" x14ac:dyDescent="0.35">
      <c r="A68">
        <v>67</v>
      </c>
      <c r="B68">
        <v>1091</v>
      </c>
      <c r="C68">
        <f t="shared" si="1"/>
        <v>9.022988505747126E-2</v>
      </c>
    </row>
    <row r="69" spans="1:3" x14ac:dyDescent="0.35">
      <c r="A69">
        <v>68</v>
      </c>
      <c r="B69">
        <v>1090</v>
      </c>
      <c r="C69">
        <f t="shared" si="1"/>
        <v>8.9655172413793102E-2</v>
      </c>
    </row>
    <row r="70" spans="1:3" x14ac:dyDescent="0.35">
      <c r="A70">
        <v>69</v>
      </c>
      <c r="B70">
        <v>1087</v>
      </c>
      <c r="C70">
        <f t="shared" si="1"/>
        <v>8.7931034482758616E-2</v>
      </c>
    </row>
    <row r="71" spans="1:3" x14ac:dyDescent="0.35">
      <c r="A71">
        <v>70</v>
      </c>
      <c r="B71">
        <v>1085</v>
      </c>
      <c r="C71">
        <f t="shared" si="1"/>
        <v>8.6781609195402301E-2</v>
      </c>
    </row>
    <row r="72" spans="1:3" x14ac:dyDescent="0.35">
      <c r="A72">
        <v>71</v>
      </c>
      <c r="B72">
        <v>1081</v>
      </c>
      <c r="C72">
        <f t="shared" si="1"/>
        <v>8.4482758620689657E-2</v>
      </c>
    </row>
    <row r="73" spans="1:3" x14ac:dyDescent="0.35">
      <c r="A73">
        <v>72</v>
      </c>
      <c r="B73">
        <v>1076</v>
      </c>
      <c r="C73">
        <f t="shared" si="1"/>
        <v>8.1609195402298856E-2</v>
      </c>
    </row>
    <row r="74" spans="1:3" x14ac:dyDescent="0.35">
      <c r="A74">
        <v>73</v>
      </c>
      <c r="B74">
        <v>1070</v>
      </c>
      <c r="C74">
        <f t="shared" si="1"/>
        <v>7.8160919540229884E-2</v>
      </c>
    </row>
    <row r="75" spans="1:3" x14ac:dyDescent="0.35">
      <c r="A75">
        <v>74</v>
      </c>
      <c r="B75">
        <v>1067</v>
      </c>
      <c r="C75">
        <f t="shared" si="1"/>
        <v>7.6436781609195398E-2</v>
      </c>
    </row>
    <row r="76" spans="1:3" x14ac:dyDescent="0.35">
      <c r="A76">
        <v>75</v>
      </c>
      <c r="B76">
        <v>1066</v>
      </c>
      <c r="C76">
        <f t="shared" si="1"/>
        <v>7.586206896551724E-2</v>
      </c>
    </row>
    <row r="77" spans="1:3" x14ac:dyDescent="0.35">
      <c r="A77">
        <v>76</v>
      </c>
      <c r="B77">
        <v>1066</v>
      </c>
      <c r="C77">
        <f t="shared" si="1"/>
        <v>7.586206896551724E-2</v>
      </c>
    </row>
    <row r="78" spans="1:3" x14ac:dyDescent="0.35">
      <c r="A78">
        <v>77</v>
      </c>
      <c r="B78">
        <v>1067</v>
      </c>
      <c r="C78">
        <f t="shared" si="1"/>
        <v>7.6436781609195398E-2</v>
      </c>
    </row>
    <row r="79" spans="1:3" x14ac:dyDescent="0.35">
      <c r="A79">
        <v>78</v>
      </c>
      <c r="B79">
        <v>1067</v>
      </c>
      <c r="C79">
        <f t="shared" si="1"/>
        <v>7.6436781609195398E-2</v>
      </c>
    </row>
    <row r="80" spans="1:3" x14ac:dyDescent="0.35">
      <c r="A80">
        <v>79</v>
      </c>
      <c r="B80">
        <v>1068</v>
      </c>
      <c r="C80">
        <f t="shared" si="1"/>
        <v>7.7011494252873569E-2</v>
      </c>
    </row>
    <row r="81" spans="1:3" x14ac:dyDescent="0.35">
      <c r="A81">
        <v>80</v>
      </c>
      <c r="B81">
        <v>1067</v>
      </c>
      <c r="C81">
        <f t="shared" si="1"/>
        <v>7.6436781609195398E-2</v>
      </c>
    </row>
    <row r="82" spans="1:3" x14ac:dyDescent="0.35">
      <c r="A82">
        <v>81</v>
      </c>
      <c r="B82">
        <v>1067</v>
      </c>
      <c r="C82">
        <f t="shared" si="1"/>
        <v>7.6436781609195398E-2</v>
      </c>
    </row>
    <row r="83" spans="1:3" x14ac:dyDescent="0.35">
      <c r="A83">
        <v>82</v>
      </c>
      <c r="B83">
        <v>1065</v>
      </c>
      <c r="C83">
        <f t="shared" si="1"/>
        <v>7.5287356321839083E-2</v>
      </c>
    </row>
    <row r="84" spans="1:3" x14ac:dyDescent="0.35">
      <c r="A84">
        <v>83</v>
      </c>
      <c r="B84">
        <v>1062</v>
      </c>
      <c r="C84">
        <f t="shared" si="1"/>
        <v>7.3563218390804597E-2</v>
      </c>
    </row>
    <row r="85" spans="1:3" x14ac:dyDescent="0.35">
      <c r="A85">
        <v>84</v>
      </c>
      <c r="B85">
        <v>1059</v>
      </c>
      <c r="C85">
        <f t="shared" si="1"/>
        <v>7.183908045977011E-2</v>
      </c>
    </row>
    <row r="86" spans="1:3" x14ac:dyDescent="0.35">
      <c r="A86">
        <v>85</v>
      </c>
      <c r="B86">
        <v>1058</v>
      </c>
      <c r="C86">
        <f t="shared" si="1"/>
        <v>7.1264367816091953E-2</v>
      </c>
    </row>
    <row r="87" spans="1:3" x14ac:dyDescent="0.35">
      <c r="A87">
        <v>86</v>
      </c>
      <c r="B87">
        <v>1059</v>
      </c>
      <c r="C87">
        <f t="shared" si="1"/>
        <v>7.183908045977011E-2</v>
      </c>
    </row>
    <row r="88" spans="1:3" x14ac:dyDescent="0.35">
      <c r="A88">
        <v>87</v>
      </c>
      <c r="B88">
        <v>1059</v>
      </c>
      <c r="C88">
        <f t="shared" si="1"/>
        <v>7.183908045977011E-2</v>
      </c>
    </row>
    <row r="89" spans="1:3" x14ac:dyDescent="0.35">
      <c r="A89">
        <v>88</v>
      </c>
      <c r="B89">
        <v>1057</v>
      </c>
      <c r="C89">
        <f>IF((B89-934)/1740&lt;0,0,(B89-934)/1740)</f>
        <v>7.0689655172413796E-2</v>
      </c>
    </row>
    <row r="90" spans="1:3" x14ac:dyDescent="0.35">
      <c r="A90">
        <v>89</v>
      </c>
      <c r="B90">
        <v>1054</v>
      </c>
      <c r="C90">
        <f>IF((B90-934)/1740&lt;0,0,(B90-934)/1740)</f>
        <v>6.8965517241379309E-2</v>
      </c>
    </row>
    <row r="91" spans="1:3" x14ac:dyDescent="0.35">
      <c r="A91">
        <v>90</v>
      </c>
      <c r="B91">
        <v>1051</v>
      </c>
      <c r="C91">
        <f t="shared" si="1"/>
        <v>6.7241379310344823E-2</v>
      </c>
    </row>
    <row r="92" spans="1:3" x14ac:dyDescent="0.35">
      <c r="A92">
        <v>91</v>
      </c>
      <c r="B92">
        <v>1048</v>
      </c>
      <c r="C92">
        <f t="shared" si="1"/>
        <v>6.5517241379310351E-2</v>
      </c>
    </row>
    <row r="93" spans="1:3" x14ac:dyDescent="0.35">
      <c r="A93">
        <v>92</v>
      </c>
      <c r="B93">
        <v>1045</v>
      </c>
      <c r="C93">
        <f t="shared" si="1"/>
        <v>6.3793103448275865E-2</v>
      </c>
    </row>
    <row r="94" spans="1:3" x14ac:dyDescent="0.35">
      <c r="A94">
        <v>93</v>
      </c>
      <c r="B94">
        <v>1042</v>
      </c>
      <c r="C94">
        <f t="shared" si="1"/>
        <v>6.2068965517241378E-2</v>
      </c>
    </row>
    <row r="95" spans="1:3" x14ac:dyDescent="0.35">
      <c r="A95">
        <v>94</v>
      </c>
      <c r="B95">
        <v>1038</v>
      </c>
      <c r="C95">
        <f t="shared" si="1"/>
        <v>5.9770114942528735E-2</v>
      </c>
    </row>
    <row r="96" spans="1:3" x14ac:dyDescent="0.35">
      <c r="A96">
        <v>95</v>
      </c>
      <c r="B96">
        <v>1036</v>
      </c>
      <c r="C96">
        <f t="shared" si="1"/>
        <v>5.8620689655172413E-2</v>
      </c>
    </row>
    <row r="97" spans="1:3" x14ac:dyDescent="0.35">
      <c r="A97">
        <v>96</v>
      </c>
      <c r="B97">
        <v>1032</v>
      </c>
      <c r="C97">
        <f t="shared" si="1"/>
        <v>5.6321839080459769E-2</v>
      </c>
    </row>
    <row r="98" spans="1:3" x14ac:dyDescent="0.35">
      <c r="A98">
        <v>97</v>
      </c>
      <c r="B98">
        <v>1032</v>
      </c>
      <c r="C98">
        <f t="shared" si="1"/>
        <v>5.6321839080459769E-2</v>
      </c>
    </row>
    <row r="99" spans="1:3" x14ac:dyDescent="0.35">
      <c r="A99">
        <v>98</v>
      </c>
      <c r="B99">
        <v>1030</v>
      </c>
      <c r="C99">
        <f t="shared" si="1"/>
        <v>5.5172413793103448E-2</v>
      </c>
    </row>
    <row r="100" spans="1:3" x14ac:dyDescent="0.35">
      <c r="A100">
        <v>99</v>
      </c>
      <c r="B100">
        <v>1028</v>
      </c>
      <c r="C100">
        <f t="shared" si="1"/>
        <v>5.4022988505747126E-2</v>
      </c>
    </row>
    <row r="101" spans="1:3" x14ac:dyDescent="0.35">
      <c r="A101">
        <v>100</v>
      </c>
      <c r="B101">
        <v>1028</v>
      </c>
      <c r="C101">
        <f t="shared" si="1"/>
        <v>5.4022988505747126E-2</v>
      </c>
    </row>
    <row r="102" spans="1:3" x14ac:dyDescent="0.35">
      <c r="A102">
        <v>101</v>
      </c>
      <c r="B102">
        <v>1029</v>
      </c>
      <c r="C102">
        <f t="shared" si="1"/>
        <v>5.459770114942529E-2</v>
      </c>
    </row>
    <row r="103" spans="1:3" x14ac:dyDescent="0.35">
      <c r="A103">
        <v>102</v>
      </c>
      <c r="B103">
        <v>1030</v>
      </c>
      <c r="C103">
        <f t="shared" si="1"/>
        <v>5.5172413793103448E-2</v>
      </c>
    </row>
    <row r="104" spans="1:3" x14ac:dyDescent="0.35">
      <c r="A104">
        <v>103</v>
      </c>
      <c r="B104">
        <v>1030</v>
      </c>
      <c r="C104">
        <f t="shared" si="1"/>
        <v>5.5172413793103448E-2</v>
      </c>
    </row>
    <row r="105" spans="1:3" x14ac:dyDescent="0.35">
      <c r="A105">
        <v>104</v>
      </c>
      <c r="B105">
        <v>1030</v>
      </c>
      <c r="C105">
        <f t="shared" si="1"/>
        <v>5.5172413793103448E-2</v>
      </c>
    </row>
    <row r="106" spans="1:3" x14ac:dyDescent="0.35">
      <c r="A106">
        <v>105</v>
      </c>
      <c r="B106">
        <v>1031</v>
      </c>
      <c r="C106">
        <f t="shared" si="1"/>
        <v>5.5747126436781612E-2</v>
      </c>
    </row>
    <row r="107" spans="1:3" x14ac:dyDescent="0.35">
      <c r="A107">
        <v>106</v>
      </c>
      <c r="B107">
        <v>1029</v>
      </c>
      <c r="C107">
        <f t="shared" si="1"/>
        <v>5.459770114942529E-2</v>
      </c>
    </row>
    <row r="108" spans="1:3" x14ac:dyDescent="0.35">
      <c r="A108">
        <v>107</v>
      </c>
      <c r="B108">
        <v>1028</v>
      </c>
      <c r="C108">
        <f t="shared" si="1"/>
        <v>5.4022988505747126E-2</v>
      </c>
    </row>
    <row r="109" spans="1:3" x14ac:dyDescent="0.35">
      <c r="A109">
        <v>108</v>
      </c>
      <c r="B109">
        <v>1027</v>
      </c>
      <c r="C109">
        <f t="shared" si="1"/>
        <v>5.3448275862068968E-2</v>
      </c>
    </row>
    <row r="110" spans="1:3" x14ac:dyDescent="0.35">
      <c r="A110">
        <v>109</v>
      </c>
      <c r="B110">
        <v>1026</v>
      </c>
      <c r="C110">
        <f t="shared" si="1"/>
        <v>5.2873563218390804E-2</v>
      </c>
    </row>
    <row r="111" spans="1:3" x14ac:dyDescent="0.35">
      <c r="A111">
        <v>110</v>
      </c>
      <c r="B111">
        <v>1024</v>
      </c>
      <c r="C111">
        <f t="shared" si="1"/>
        <v>5.1724137931034482E-2</v>
      </c>
    </row>
    <row r="112" spans="1:3" x14ac:dyDescent="0.35">
      <c r="A112">
        <v>111</v>
      </c>
      <c r="B112">
        <v>1024</v>
      </c>
      <c r="C112">
        <f t="shared" si="1"/>
        <v>5.1724137931034482E-2</v>
      </c>
    </row>
    <row r="113" spans="1:3" x14ac:dyDescent="0.35">
      <c r="A113">
        <v>112</v>
      </c>
      <c r="B113">
        <v>1025</v>
      </c>
      <c r="C113">
        <f t="shared" si="1"/>
        <v>5.2298850574712646E-2</v>
      </c>
    </row>
    <row r="114" spans="1:3" x14ac:dyDescent="0.35">
      <c r="A114">
        <v>113</v>
      </c>
      <c r="B114">
        <v>1023</v>
      </c>
      <c r="C114">
        <f t="shared" si="1"/>
        <v>5.1149425287356325E-2</v>
      </c>
    </row>
    <row r="115" spans="1:3" x14ac:dyDescent="0.35">
      <c r="A115">
        <v>114</v>
      </c>
      <c r="B115">
        <v>1023</v>
      </c>
      <c r="C115">
        <f t="shared" si="1"/>
        <v>5.1149425287356325E-2</v>
      </c>
    </row>
    <row r="116" spans="1:3" x14ac:dyDescent="0.35">
      <c r="A116">
        <v>115</v>
      </c>
      <c r="B116">
        <v>1023</v>
      </c>
      <c r="C116">
        <f t="shared" si="1"/>
        <v>5.1149425287356325E-2</v>
      </c>
    </row>
    <row r="117" spans="1:3" x14ac:dyDescent="0.35">
      <c r="A117">
        <v>116</v>
      </c>
      <c r="B117">
        <v>1022</v>
      </c>
      <c r="C117">
        <f t="shared" si="1"/>
        <v>5.057471264367816E-2</v>
      </c>
    </row>
    <row r="118" spans="1:3" x14ac:dyDescent="0.35">
      <c r="A118">
        <v>117</v>
      </c>
      <c r="B118">
        <v>1021</v>
      </c>
      <c r="C118">
        <f t="shared" si="1"/>
        <v>0.05</v>
      </c>
    </row>
    <row r="119" spans="1:3" x14ac:dyDescent="0.35">
      <c r="A119">
        <v>118</v>
      </c>
      <c r="B119">
        <v>1020</v>
      </c>
      <c r="C119">
        <f t="shared" si="1"/>
        <v>4.9425287356321838E-2</v>
      </c>
    </row>
    <row r="120" spans="1:3" x14ac:dyDescent="0.35">
      <c r="A120">
        <v>119</v>
      </c>
      <c r="B120">
        <v>1020</v>
      </c>
      <c r="C120">
        <f t="shared" si="1"/>
        <v>4.9425287356321838E-2</v>
      </c>
    </row>
    <row r="121" spans="1:3" x14ac:dyDescent="0.35">
      <c r="A121">
        <v>120</v>
      </c>
      <c r="B121">
        <v>1019</v>
      </c>
      <c r="C121">
        <f t="shared" si="1"/>
        <v>4.8850574712643681E-2</v>
      </c>
    </row>
    <row r="122" spans="1:3" x14ac:dyDescent="0.35">
      <c r="A122">
        <v>121</v>
      </c>
      <c r="B122">
        <v>1019</v>
      </c>
      <c r="C122">
        <f t="shared" si="1"/>
        <v>4.8850574712643681E-2</v>
      </c>
    </row>
    <row r="123" spans="1:3" x14ac:dyDescent="0.35">
      <c r="A123">
        <v>122</v>
      </c>
      <c r="B123">
        <v>1020</v>
      </c>
      <c r="C123">
        <f t="shared" si="1"/>
        <v>4.9425287356321838E-2</v>
      </c>
    </row>
    <row r="124" spans="1:3" x14ac:dyDescent="0.35">
      <c r="A124">
        <v>123</v>
      </c>
      <c r="B124">
        <v>1019</v>
      </c>
      <c r="C124">
        <f t="shared" si="1"/>
        <v>4.8850574712643681E-2</v>
      </c>
    </row>
    <row r="125" spans="1:3" x14ac:dyDescent="0.35">
      <c r="A125">
        <v>124</v>
      </c>
      <c r="B125">
        <v>1020</v>
      </c>
      <c r="C125">
        <f t="shared" si="1"/>
        <v>4.9425287356321838E-2</v>
      </c>
    </row>
    <row r="126" spans="1:3" x14ac:dyDescent="0.35">
      <c r="A126">
        <v>125</v>
      </c>
      <c r="B126">
        <v>1020</v>
      </c>
      <c r="C126">
        <f t="shared" si="1"/>
        <v>4.9425287356321838E-2</v>
      </c>
    </row>
    <row r="127" spans="1:3" x14ac:dyDescent="0.35">
      <c r="A127">
        <v>126</v>
      </c>
      <c r="B127">
        <v>1020</v>
      </c>
      <c r="C127">
        <f t="shared" si="1"/>
        <v>4.9425287356321838E-2</v>
      </c>
    </row>
    <row r="128" spans="1:3" x14ac:dyDescent="0.35">
      <c r="A128">
        <v>127</v>
      </c>
      <c r="B128">
        <v>1020</v>
      </c>
      <c r="C128">
        <f t="shared" si="1"/>
        <v>4.9425287356321838E-2</v>
      </c>
    </row>
    <row r="129" spans="1:3" x14ac:dyDescent="0.35">
      <c r="A129">
        <v>128</v>
      </c>
      <c r="B129">
        <v>1019</v>
      </c>
      <c r="C129">
        <f t="shared" si="1"/>
        <v>4.8850574712643681E-2</v>
      </c>
    </row>
    <row r="130" spans="1:3" x14ac:dyDescent="0.35">
      <c r="A130">
        <v>129</v>
      </c>
      <c r="B130">
        <v>1020</v>
      </c>
      <c r="C130">
        <f t="shared" si="1"/>
        <v>4.9425287356321838E-2</v>
      </c>
    </row>
    <row r="131" spans="1:3" x14ac:dyDescent="0.35">
      <c r="A131">
        <v>130</v>
      </c>
      <c r="B131">
        <v>1019</v>
      </c>
      <c r="C131">
        <f t="shared" ref="C131:C194" si="2">IF((B131-934)/1740&lt;0,0,(B131-934)/1740)</f>
        <v>4.8850574712643681E-2</v>
      </c>
    </row>
    <row r="132" spans="1:3" x14ac:dyDescent="0.35">
      <c r="A132">
        <v>131</v>
      </c>
      <c r="B132">
        <v>1019</v>
      </c>
      <c r="C132">
        <f t="shared" si="2"/>
        <v>4.8850574712643681E-2</v>
      </c>
    </row>
    <row r="133" spans="1:3" x14ac:dyDescent="0.35">
      <c r="A133">
        <v>132</v>
      </c>
      <c r="B133">
        <v>1019</v>
      </c>
      <c r="C133">
        <f t="shared" si="2"/>
        <v>4.8850574712643681E-2</v>
      </c>
    </row>
    <row r="134" spans="1:3" x14ac:dyDescent="0.35">
      <c r="A134">
        <v>133</v>
      </c>
      <c r="B134">
        <v>1019</v>
      </c>
      <c r="C134">
        <f t="shared" si="2"/>
        <v>4.8850574712643681E-2</v>
      </c>
    </row>
    <row r="135" spans="1:3" x14ac:dyDescent="0.35">
      <c r="A135">
        <v>134</v>
      </c>
      <c r="B135">
        <v>1018</v>
      </c>
      <c r="C135">
        <f t="shared" si="2"/>
        <v>4.8275862068965517E-2</v>
      </c>
    </row>
    <row r="136" spans="1:3" x14ac:dyDescent="0.35">
      <c r="A136">
        <v>135</v>
      </c>
      <c r="B136">
        <v>1017</v>
      </c>
      <c r="C136">
        <f t="shared" si="2"/>
        <v>4.7701149425287359E-2</v>
      </c>
    </row>
    <row r="137" spans="1:3" x14ac:dyDescent="0.35">
      <c r="A137">
        <v>136</v>
      </c>
      <c r="B137">
        <v>1016</v>
      </c>
      <c r="C137">
        <f t="shared" si="2"/>
        <v>4.7126436781609195E-2</v>
      </c>
    </row>
    <row r="138" spans="1:3" x14ac:dyDescent="0.35">
      <c r="A138">
        <v>137</v>
      </c>
      <c r="B138">
        <v>1015</v>
      </c>
      <c r="C138">
        <f t="shared" si="2"/>
        <v>4.6551724137931037E-2</v>
      </c>
    </row>
    <row r="139" spans="1:3" x14ac:dyDescent="0.35">
      <c r="A139">
        <v>138</v>
      </c>
      <c r="B139">
        <v>1015</v>
      </c>
      <c r="C139">
        <f t="shared" si="2"/>
        <v>4.6551724137931037E-2</v>
      </c>
    </row>
    <row r="140" spans="1:3" x14ac:dyDescent="0.35">
      <c r="A140">
        <v>139</v>
      </c>
      <c r="B140">
        <v>1014</v>
      </c>
      <c r="C140">
        <f t="shared" si="2"/>
        <v>4.5977011494252873E-2</v>
      </c>
    </row>
    <row r="141" spans="1:3" x14ac:dyDescent="0.35">
      <c r="A141">
        <v>140</v>
      </c>
      <c r="B141">
        <v>1014</v>
      </c>
      <c r="C141">
        <f t="shared" si="2"/>
        <v>4.5977011494252873E-2</v>
      </c>
    </row>
    <row r="142" spans="1:3" x14ac:dyDescent="0.35">
      <c r="A142">
        <v>141</v>
      </c>
      <c r="B142">
        <v>1013</v>
      </c>
      <c r="C142">
        <f t="shared" si="2"/>
        <v>4.5402298850574715E-2</v>
      </c>
    </row>
    <row r="143" spans="1:3" x14ac:dyDescent="0.35">
      <c r="A143">
        <v>142</v>
      </c>
      <c r="B143">
        <v>1013</v>
      </c>
      <c r="C143">
        <f t="shared" si="2"/>
        <v>4.5402298850574715E-2</v>
      </c>
    </row>
    <row r="144" spans="1:3" x14ac:dyDescent="0.35">
      <c r="A144">
        <v>143</v>
      </c>
      <c r="B144">
        <v>1013</v>
      </c>
      <c r="C144">
        <f t="shared" si="2"/>
        <v>4.5402298850574715E-2</v>
      </c>
    </row>
    <row r="145" spans="1:3" x14ac:dyDescent="0.35">
      <c r="A145">
        <v>144</v>
      </c>
      <c r="B145">
        <v>1013</v>
      </c>
      <c r="C145">
        <f t="shared" si="2"/>
        <v>4.5402298850574715E-2</v>
      </c>
    </row>
    <row r="146" spans="1:3" x14ac:dyDescent="0.35">
      <c r="A146">
        <v>145</v>
      </c>
      <c r="B146">
        <v>1014</v>
      </c>
      <c r="C146">
        <f t="shared" si="2"/>
        <v>4.5977011494252873E-2</v>
      </c>
    </row>
    <row r="147" spans="1:3" x14ac:dyDescent="0.35">
      <c r="A147">
        <v>146</v>
      </c>
      <c r="B147">
        <v>1014</v>
      </c>
      <c r="C147">
        <f t="shared" si="2"/>
        <v>4.5977011494252873E-2</v>
      </c>
    </row>
    <row r="148" spans="1:3" x14ac:dyDescent="0.35">
      <c r="A148">
        <v>147</v>
      </c>
      <c r="B148">
        <v>1013</v>
      </c>
      <c r="C148">
        <f t="shared" si="2"/>
        <v>4.5402298850574715E-2</v>
      </c>
    </row>
    <row r="149" spans="1:3" x14ac:dyDescent="0.35">
      <c r="A149">
        <v>148</v>
      </c>
      <c r="B149">
        <v>1013</v>
      </c>
      <c r="C149">
        <f t="shared" si="2"/>
        <v>4.5402298850574715E-2</v>
      </c>
    </row>
    <row r="150" spans="1:3" x14ac:dyDescent="0.35">
      <c r="A150">
        <v>149</v>
      </c>
      <c r="B150">
        <v>1013</v>
      </c>
      <c r="C150">
        <f t="shared" si="2"/>
        <v>4.5402298850574715E-2</v>
      </c>
    </row>
    <row r="151" spans="1:3" x14ac:dyDescent="0.35">
      <c r="A151">
        <v>150</v>
      </c>
      <c r="B151">
        <v>1012</v>
      </c>
      <c r="C151">
        <f t="shared" si="2"/>
        <v>4.4827586206896551E-2</v>
      </c>
    </row>
    <row r="152" spans="1:3" x14ac:dyDescent="0.35">
      <c r="A152">
        <v>151</v>
      </c>
      <c r="B152">
        <v>1012</v>
      </c>
      <c r="C152">
        <f t="shared" si="2"/>
        <v>4.4827586206896551E-2</v>
      </c>
    </row>
    <row r="153" spans="1:3" x14ac:dyDescent="0.35">
      <c r="A153">
        <v>152</v>
      </c>
      <c r="B153">
        <v>1011</v>
      </c>
      <c r="C153">
        <f t="shared" si="2"/>
        <v>4.4252873563218394E-2</v>
      </c>
    </row>
    <row r="154" spans="1:3" x14ac:dyDescent="0.35">
      <c r="A154">
        <v>153</v>
      </c>
      <c r="B154">
        <v>1011</v>
      </c>
      <c r="C154">
        <f t="shared" si="2"/>
        <v>4.4252873563218394E-2</v>
      </c>
    </row>
    <row r="155" spans="1:3" x14ac:dyDescent="0.35">
      <c r="A155">
        <v>154</v>
      </c>
      <c r="B155">
        <v>1010</v>
      </c>
      <c r="C155">
        <f t="shared" si="2"/>
        <v>4.3678160919540229E-2</v>
      </c>
    </row>
    <row r="156" spans="1:3" x14ac:dyDescent="0.35">
      <c r="A156">
        <v>155</v>
      </c>
      <c r="B156">
        <v>1009</v>
      </c>
      <c r="C156">
        <f t="shared" si="2"/>
        <v>4.3103448275862072E-2</v>
      </c>
    </row>
    <row r="157" spans="1:3" x14ac:dyDescent="0.35">
      <c r="A157">
        <v>156</v>
      </c>
      <c r="B157">
        <v>1008</v>
      </c>
      <c r="C157">
        <f t="shared" si="2"/>
        <v>4.2528735632183907E-2</v>
      </c>
    </row>
    <row r="158" spans="1:3" x14ac:dyDescent="0.35">
      <c r="A158">
        <v>157</v>
      </c>
      <c r="B158">
        <v>1007</v>
      </c>
      <c r="C158">
        <f t="shared" si="2"/>
        <v>4.195402298850575E-2</v>
      </c>
    </row>
    <row r="159" spans="1:3" x14ac:dyDescent="0.35">
      <c r="A159">
        <v>158</v>
      </c>
      <c r="B159">
        <v>1006</v>
      </c>
      <c r="C159">
        <f t="shared" si="2"/>
        <v>4.1379310344827586E-2</v>
      </c>
    </row>
    <row r="160" spans="1:3" x14ac:dyDescent="0.35">
      <c r="A160">
        <v>159</v>
      </c>
      <c r="B160">
        <v>1005</v>
      </c>
      <c r="C160">
        <f t="shared" si="2"/>
        <v>4.0804597701149428E-2</v>
      </c>
    </row>
    <row r="161" spans="1:3" x14ac:dyDescent="0.35">
      <c r="A161">
        <v>160</v>
      </c>
      <c r="B161">
        <v>1004</v>
      </c>
      <c r="C161">
        <f t="shared" si="2"/>
        <v>4.0229885057471264E-2</v>
      </c>
    </row>
    <row r="162" spans="1:3" x14ac:dyDescent="0.35">
      <c r="A162">
        <v>161</v>
      </c>
      <c r="B162">
        <v>1004</v>
      </c>
      <c r="C162">
        <f t="shared" si="2"/>
        <v>4.0229885057471264E-2</v>
      </c>
    </row>
    <row r="163" spans="1:3" x14ac:dyDescent="0.35">
      <c r="A163">
        <v>162</v>
      </c>
      <c r="B163">
        <v>1003</v>
      </c>
      <c r="C163">
        <f t="shared" si="2"/>
        <v>3.9655172413793106E-2</v>
      </c>
    </row>
    <row r="164" spans="1:3" x14ac:dyDescent="0.35">
      <c r="A164">
        <v>163</v>
      </c>
      <c r="B164">
        <v>1002</v>
      </c>
      <c r="C164">
        <f t="shared" si="2"/>
        <v>3.9080459770114942E-2</v>
      </c>
    </row>
    <row r="165" spans="1:3" x14ac:dyDescent="0.35">
      <c r="A165">
        <v>164</v>
      </c>
      <c r="B165">
        <v>1001</v>
      </c>
      <c r="C165">
        <f t="shared" si="2"/>
        <v>3.8505747126436785E-2</v>
      </c>
    </row>
    <row r="166" spans="1:3" x14ac:dyDescent="0.35">
      <c r="A166">
        <v>165</v>
      </c>
      <c r="B166">
        <v>999</v>
      </c>
      <c r="C166">
        <f t="shared" si="2"/>
        <v>3.7356321839080463E-2</v>
      </c>
    </row>
    <row r="167" spans="1:3" x14ac:dyDescent="0.35">
      <c r="A167">
        <v>166</v>
      </c>
      <c r="B167">
        <v>995</v>
      </c>
      <c r="C167">
        <f t="shared" si="2"/>
        <v>3.5057471264367819E-2</v>
      </c>
    </row>
    <row r="168" spans="1:3" x14ac:dyDescent="0.35">
      <c r="A168">
        <v>167</v>
      </c>
      <c r="B168">
        <v>990</v>
      </c>
      <c r="C168">
        <f t="shared" si="2"/>
        <v>3.2183908045977011E-2</v>
      </c>
    </row>
    <row r="169" spans="1:3" x14ac:dyDescent="0.35">
      <c r="A169">
        <v>168</v>
      </c>
      <c r="B169">
        <v>986</v>
      </c>
      <c r="C169">
        <f t="shared" si="2"/>
        <v>2.9885057471264367E-2</v>
      </c>
    </row>
    <row r="170" spans="1:3" x14ac:dyDescent="0.35">
      <c r="A170">
        <v>169</v>
      </c>
      <c r="B170">
        <v>984</v>
      </c>
      <c r="C170">
        <f t="shared" si="2"/>
        <v>2.8735632183908046E-2</v>
      </c>
    </row>
    <row r="171" spans="1:3" x14ac:dyDescent="0.35">
      <c r="A171">
        <v>170</v>
      </c>
      <c r="B171">
        <v>982</v>
      </c>
      <c r="C171">
        <f t="shared" si="2"/>
        <v>2.7586206896551724E-2</v>
      </c>
    </row>
    <row r="172" spans="1:3" x14ac:dyDescent="0.35">
      <c r="A172">
        <v>171</v>
      </c>
      <c r="B172">
        <v>981</v>
      </c>
      <c r="C172">
        <f t="shared" si="2"/>
        <v>2.7011494252873563E-2</v>
      </c>
    </row>
    <row r="173" spans="1:3" x14ac:dyDescent="0.35">
      <c r="A173">
        <v>172</v>
      </c>
      <c r="B173">
        <v>982</v>
      </c>
      <c r="C173">
        <f t="shared" si="2"/>
        <v>2.7586206896551724E-2</v>
      </c>
    </row>
    <row r="174" spans="1:3" x14ac:dyDescent="0.35">
      <c r="A174">
        <v>173</v>
      </c>
      <c r="B174">
        <v>983</v>
      </c>
      <c r="C174">
        <f t="shared" si="2"/>
        <v>2.8160919540229885E-2</v>
      </c>
    </row>
    <row r="175" spans="1:3" x14ac:dyDescent="0.35">
      <c r="A175">
        <v>174</v>
      </c>
      <c r="B175">
        <v>983</v>
      </c>
      <c r="C175">
        <f t="shared" si="2"/>
        <v>2.8160919540229885E-2</v>
      </c>
    </row>
    <row r="176" spans="1:3" x14ac:dyDescent="0.35">
      <c r="A176">
        <v>175</v>
      </c>
      <c r="B176">
        <v>980</v>
      </c>
      <c r="C176">
        <f t="shared" si="2"/>
        <v>2.6436781609195402E-2</v>
      </c>
    </row>
    <row r="177" spans="1:3" x14ac:dyDescent="0.35">
      <c r="A177">
        <v>176</v>
      </c>
      <c r="B177">
        <v>978</v>
      </c>
      <c r="C177">
        <f t="shared" si="2"/>
        <v>2.528735632183908E-2</v>
      </c>
    </row>
    <row r="178" spans="1:3" x14ac:dyDescent="0.35">
      <c r="A178">
        <v>177</v>
      </c>
      <c r="B178">
        <v>976</v>
      </c>
      <c r="C178">
        <f t="shared" si="2"/>
        <v>2.4137931034482758E-2</v>
      </c>
    </row>
    <row r="179" spans="1:3" x14ac:dyDescent="0.35">
      <c r="A179">
        <v>178</v>
      </c>
      <c r="B179">
        <v>974</v>
      </c>
      <c r="C179">
        <f t="shared" si="2"/>
        <v>2.2988505747126436E-2</v>
      </c>
    </row>
    <row r="180" spans="1:3" x14ac:dyDescent="0.35">
      <c r="A180">
        <v>179</v>
      </c>
      <c r="B180">
        <v>972</v>
      </c>
      <c r="C180">
        <f t="shared" si="2"/>
        <v>2.1839080459770115E-2</v>
      </c>
    </row>
    <row r="181" spans="1:3" x14ac:dyDescent="0.35">
      <c r="A181">
        <v>180</v>
      </c>
      <c r="B181">
        <v>971</v>
      </c>
      <c r="C181">
        <f t="shared" si="2"/>
        <v>2.1264367816091954E-2</v>
      </c>
    </row>
    <row r="182" spans="1:3" x14ac:dyDescent="0.35">
      <c r="A182">
        <v>181</v>
      </c>
      <c r="B182">
        <v>969</v>
      </c>
      <c r="C182">
        <f t="shared" si="2"/>
        <v>2.0114942528735632E-2</v>
      </c>
    </row>
    <row r="183" spans="1:3" x14ac:dyDescent="0.35">
      <c r="A183">
        <v>182</v>
      </c>
      <c r="B183">
        <v>968</v>
      </c>
      <c r="C183">
        <f t="shared" si="2"/>
        <v>1.9540229885057471E-2</v>
      </c>
    </row>
    <row r="184" spans="1:3" x14ac:dyDescent="0.35">
      <c r="A184">
        <v>183</v>
      </c>
      <c r="B184">
        <v>969</v>
      </c>
      <c r="C184">
        <f t="shared" si="2"/>
        <v>2.0114942528735632E-2</v>
      </c>
    </row>
    <row r="185" spans="1:3" x14ac:dyDescent="0.35">
      <c r="A185">
        <v>184</v>
      </c>
      <c r="B185">
        <v>968</v>
      </c>
      <c r="C185">
        <f t="shared" si="2"/>
        <v>1.9540229885057471E-2</v>
      </c>
    </row>
    <row r="186" spans="1:3" x14ac:dyDescent="0.35">
      <c r="A186">
        <v>185</v>
      </c>
      <c r="B186">
        <v>967</v>
      </c>
      <c r="C186">
        <f t="shared" si="2"/>
        <v>1.896551724137931E-2</v>
      </c>
    </row>
    <row r="187" spans="1:3" x14ac:dyDescent="0.35">
      <c r="A187">
        <v>186</v>
      </c>
      <c r="B187">
        <v>966</v>
      </c>
      <c r="C187">
        <f t="shared" si="2"/>
        <v>1.8390804597701149E-2</v>
      </c>
    </row>
    <row r="188" spans="1:3" x14ac:dyDescent="0.35">
      <c r="A188">
        <v>187</v>
      </c>
      <c r="B188">
        <v>965</v>
      </c>
      <c r="C188">
        <f t="shared" si="2"/>
        <v>1.7816091954022988E-2</v>
      </c>
    </row>
    <row r="189" spans="1:3" x14ac:dyDescent="0.35">
      <c r="A189">
        <v>188</v>
      </c>
      <c r="B189">
        <v>964</v>
      </c>
      <c r="C189">
        <f t="shared" si="2"/>
        <v>1.7241379310344827E-2</v>
      </c>
    </row>
    <row r="190" spans="1:3" x14ac:dyDescent="0.35">
      <c r="A190">
        <v>189</v>
      </c>
      <c r="B190">
        <v>964</v>
      </c>
      <c r="C190">
        <f t="shared" si="2"/>
        <v>1.7241379310344827E-2</v>
      </c>
    </row>
    <row r="191" spans="1:3" x14ac:dyDescent="0.35">
      <c r="A191">
        <v>190</v>
      </c>
      <c r="B191">
        <v>963</v>
      </c>
      <c r="C191">
        <f t="shared" si="2"/>
        <v>1.6666666666666666E-2</v>
      </c>
    </row>
    <row r="192" spans="1:3" x14ac:dyDescent="0.35">
      <c r="A192">
        <v>191</v>
      </c>
      <c r="B192">
        <v>963</v>
      </c>
      <c r="C192">
        <f t="shared" si="2"/>
        <v>1.6666666666666666E-2</v>
      </c>
    </row>
    <row r="193" spans="1:3" x14ac:dyDescent="0.35">
      <c r="A193">
        <v>192</v>
      </c>
      <c r="B193">
        <v>962</v>
      </c>
      <c r="C193">
        <f t="shared" si="2"/>
        <v>1.6091954022988506E-2</v>
      </c>
    </row>
    <row r="194" spans="1:3" x14ac:dyDescent="0.35">
      <c r="A194">
        <v>193</v>
      </c>
      <c r="B194">
        <v>963</v>
      </c>
      <c r="C194">
        <f t="shared" si="2"/>
        <v>1.6666666666666666E-2</v>
      </c>
    </row>
    <row r="195" spans="1:3" x14ac:dyDescent="0.35">
      <c r="A195">
        <v>194</v>
      </c>
      <c r="B195">
        <v>962</v>
      </c>
      <c r="C195">
        <f t="shared" ref="C195:C258" si="3">IF((B195-934)/1740&lt;0,0,(B195-934)/1740)</f>
        <v>1.6091954022988506E-2</v>
      </c>
    </row>
    <row r="196" spans="1:3" x14ac:dyDescent="0.35">
      <c r="A196">
        <v>195</v>
      </c>
      <c r="B196">
        <v>962</v>
      </c>
      <c r="C196">
        <f t="shared" si="3"/>
        <v>1.6091954022988506E-2</v>
      </c>
    </row>
    <row r="197" spans="1:3" x14ac:dyDescent="0.35">
      <c r="A197">
        <v>196</v>
      </c>
      <c r="B197">
        <v>960</v>
      </c>
      <c r="C197">
        <f t="shared" si="3"/>
        <v>1.4942528735632184E-2</v>
      </c>
    </row>
    <row r="198" spans="1:3" x14ac:dyDescent="0.35">
      <c r="A198">
        <v>197</v>
      </c>
      <c r="B198">
        <v>958</v>
      </c>
      <c r="C198">
        <f t="shared" si="3"/>
        <v>1.3793103448275862E-2</v>
      </c>
    </row>
    <row r="199" spans="1:3" x14ac:dyDescent="0.35">
      <c r="A199">
        <v>198</v>
      </c>
      <c r="B199">
        <v>958</v>
      </c>
      <c r="C199">
        <f t="shared" si="3"/>
        <v>1.3793103448275862E-2</v>
      </c>
    </row>
    <row r="200" spans="1:3" x14ac:dyDescent="0.35">
      <c r="A200">
        <v>199</v>
      </c>
      <c r="B200">
        <v>957</v>
      </c>
      <c r="C200">
        <f t="shared" si="3"/>
        <v>1.3218390804597701E-2</v>
      </c>
    </row>
    <row r="201" spans="1:3" x14ac:dyDescent="0.35">
      <c r="A201">
        <v>200</v>
      </c>
      <c r="B201">
        <v>957</v>
      </c>
      <c r="C201">
        <f t="shared" si="3"/>
        <v>1.3218390804597701E-2</v>
      </c>
    </row>
    <row r="202" spans="1:3" x14ac:dyDescent="0.35">
      <c r="A202">
        <v>201</v>
      </c>
      <c r="B202">
        <v>957</v>
      </c>
      <c r="C202">
        <f t="shared" si="3"/>
        <v>1.3218390804597701E-2</v>
      </c>
    </row>
    <row r="203" spans="1:3" x14ac:dyDescent="0.35">
      <c r="A203">
        <v>202</v>
      </c>
      <c r="B203">
        <v>956</v>
      </c>
      <c r="C203">
        <f t="shared" si="3"/>
        <v>1.264367816091954E-2</v>
      </c>
    </row>
    <row r="204" spans="1:3" x14ac:dyDescent="0.35">
      <c r="A204">
        <v>203</v>
      </c>
      <c r="B204">
        <v>957</v>
      </c>
      <c r="C204">
        <f t="shared" si="3"/>
        <v>1.3218390804597701E-2</v>
      </c>
    </row>
    <row r="205" spans="1:3" x14ac:dyDescent="0.35">
      <c r="A205">
        <v>204</v>
      </c>
      <c r="B205">
        <v>958</v>
      </c>
      <c r="C205">
        <f t="shared" si="3"/>
        <v>1.3793103448275862E-2</v>
      </c>
    </row>
    <row r="206" spans="1:3" x14ac:dyDescent="0.35">
      <c r="A206">
        <v>205</v>
      </c>
      <c r="B206">
        <v>958</v>
      </c>
      <c r="C206">
        <f t="shared" si="3"/>
        <v>1.3793103448275862E-2</v>
      </c>
    </row>
    <row r="207" spans="1:3" x14ac:dyDescent="0.35">
      <c r="A207">
        <v>206</v>
      </c>
      <c r="B207">
        <v>958</v>
      </c>
      <c r="C207">
        <f t="shared" si="3"/>
        <v>1.3793103448275862E-2</v>
      </c>
    </row>
    <row r="208" spans="1:3" x14ac:dyDescent="0.35">
      <c r="A208">
        <v>207</v>
      </c>
      <c r="B208">
        <v>957</v>
      </c>
      <c r="C208">
        <f t="shared" si="3"/>
        <v>1.3218390804597701E-2</v>
      </c>
    </row>
    <row r="209" spans="1:3" x14ac:dyDescent="0.35">
      <c r="A209">
        <v>208</v>
      </c>
      <c r="B209">
        <v>957</v>
      </c>
      <c r="C209">
        <f t="shared" si="3"/>
        <v>1.3218390804597701E-2</v>
      </c>
    </row>
    <row r="210" spans="1:3" x14ac:dyDescent="0.35">
      <c r="A210">
        <v>209</v>
      </c>
      <c r="B210">
        <v>956</v>
      </c>
      <c r="C210">
        <f t="shared" si="3"/>
        <v>1.264367816091954E-2</v>
      </c>
    </row>
    <row r="211" spans="1:3" x14ac:dyDescent="0.35">
      <c r="A211">
        <v>210</v>
      </c>
      <c r="B211">
        <v>956</v>
      </c>
      <c r="C211">
        <f t="shared" si="3"/>
        <v>1.264367816091954E-2</v>
      </c>
    </row>
    <row r="212" spans="1:3" x14ac:dyDescent="0.35">
      <c r="A212">
        <v>211</v>
      </c>
      <c r="B212">
        <v>956</v>
      </c>
      <c r="C212">
        <f t="shared" si="3"/>
        <v>1.264367816091954E-2</v>
      </c>
    </row>
    <row r="213" spans="1:3" x14ac:dyDescent="0.35">
      <c r="A213">
        <v>212</v>
      </c>
      <c r="B213">
        <v>954</v>
      </c>
      <c r="C213">
        <f t="shared" si="3"/>
        <v>1.1494252873563218E-2</v>
      </c>
    </row>
    <row r="214" spans="1:3" x14ac:dyDescent="0.35">
      <c r="A214">
        <v>213</v>
      </c>
      <c r="B214">
        <v>954</v>
      </c>
      <c r="C214">
        <f t="shared" si="3"/>
        <v>1.1494252873563218E-2</v>
      </c>
    </row>
    <row r="215" spans="1:3" x14ac:dyDescent="0.35">
      <c r="A215">
        <v>214</v>
      </c>
      <c r="B215">
        <v>954</v>
      </c>
      <c r="C215">
        <f t="shared" si="3"/>
        <v>1.1494252873563218E-2</v>
      </c>
    </row>
    <row r="216" spans="1:3" x14ac:dyDescent="0.35">
      <c r="A216">
        <v>215</v>
      </c>
      <c r="B216">
        <v>954</v>
      </c>
      <c r="C216">
        <f t="shared" si="3"/>
        <v>1.1494252873563218E-2</v>
      </c>
    </row>
    <row r="217" spans="1:3" x14ac:dyDescent="0.35">
      <c r="A217">
        <v>216</v>
      </c>
      <c r="B217">
        <v>954</v>
      </c>
      <c r="C217">
        <f t="shared" si="3"/>
        <v>1.1494252873563218E-2</v>
      </c>
    </row>
    <row r="218" spans="1:3" x14ac:dyDescent="0.35">
      <c r="A218">
        <v>217</v>
      </c>
      <c r="B218">
        <v>953</v>
      </c>
      <c r="C218">
        <f t="shared" si="3"/>
        <v>1.0919540229885057E-2</v>
      </c>
    </row>
    <row r="219" spans="1:3" x14ac:dyDescent="0.35">
      <c r="A219">
        <v>218</v>
      </c>
      <c r="B219">
        <v>954</v>
      </c>
      <c r="C219">
        <f t="shared" si="3"/>
        <v>1.1494252873563218E-2</v>
      </c>
    </row>
    <row r="220" spans="1:3" x14ac:dyDescent="0.35">
      <c r="A220">
        <v>219</v>
      </c>
      <c r="B220">
        <v>954</v>
      </c>
      <c r="C220">
        <f t="shared" si="3"/>
        <v>1.1494252873563218E-2</v>
      </c>
    </row>
    <row r="221" spans="1:3" x14ac:dyDescent="0.35">
      <c r="A221">
        <v>220</v>
      </c>
      <c r="B221">
        <v>954</v>
      </c>
      <c r="C221">
        <f t="shared" si="3"/>
        <v>1.1494252873563218E-2</v>
      </c>
    </row>
    <row r="222" spans="1:3" x14ac:dyDescent="0.35">
      <c r="A222">
        <v>221</v>
      </c>
      <c r="B222">
        <v>954</v>
      </c>
      <c r="C222">
        <f t="shared" si="3"/>
        <v>1.1494252873563218E-2</v>
      </c>
    </row>
    <row r="223" spans="1:3" x14ac:dyDescent="0.35">
      <c r="A223">
        <v>222</v>
      </c>
      <c r="B223">
        <v>954</v>
      </c>
      <c r="C223">
        <f t="shared" si="3"/>
        <v>1.1494252873563218E-2</v>
      </c>
    </row>
    <row r="224" spans="1:3" x14ac:dyDescent="0.35">
      <c r="A224">
        <v>223</v>
      </c>
      <c r="B224">
        <v>954</v>
      </c>
      <c r="C224">
        <f t="shared" si="3"/>
        <v>1.1494252873563218E-2</v>
      </c>
    </row>
    <row r="225" spans="1:3" x14ac:dyDescent="0.35">
      <c r="A225">
        <v>224</v>
      </c>
      <c r="B225">
        <v>954</v>
      </c>
      <c r="C225">
        <f t="shared" si="3"/>
        <v>1.1494252873563218E-2</v>
      </c>
    </row>
    <row r="226" spans="1:3" x14ac:dyDescent="0.35">
      <c r="A226">
        <v>225</v>
      </c>
      <c r="B226">
        <v>954</v>
      </c>
      <c r="C226">
        <f t="shared" si="3"/>
        <v>1.1494252873563218E-2</v>
      </c>
    </row>
    <row r="227" spans="1:3" x14ac:dyDescent="0.35">
      <c r="A227">
        <v>226</v>
      </c>
      <c r="B227">
        <v>954</v>
      </c>
      <c r="C227">
        <f t="shared" si="3"/>
        <v>1.1494252873563218E-2</v>
      </c>
    </row>
    <row r="228" spans="1:3" x14ac:dyDescent="0.35">
      <c r="A228">
        <v>227</v>
      </c>
      <c r="B228">
        <v>954</v>
      </c>
      <c r="C228">
        <f t="shared" si="3"/>
        <v>1.1494252873563218E-2</v>
      </c>
    </row>
    <row r="229" spans="1:3" x14ac:dyDescent="0.35">
      <c r="A229">
        <v>228</v>
      </c>
      <c r="B229">
        <v>954</v>
      </c>
      <c r="C229">
        <f t="shared" si="3"/>
        <v>1.1494252873563218E-2</v>
      </c>
    </row>
    <row r="230" spans="1:3" x14ac:dyDescent="0.35">
      <c r="A230">
        <v>229</v>
      </c>
      <c r="B230">
        <v>953</v>
      </c>
      <c r="C230">
        <f t="shared" si="3"/>
        <v>1.0919540229885057E-2</v>
      </c>
    </row>
    <row r="231" spans="1:3" x14ac:dyDescent="0.35">
      <c r="A231">
        <v>230</v>
      </c>
      <c r="B231">
        <v>953</v>
      </c>
      <c r="C231">
        <f t="shared" si="3"/>
        <v>1.0919540229885057E-2</v>
      </c>
    </row>
    <row r="232" spans="1:3" x14ac:dyDescent="0.35">
      <c r="A232">
        <v>231</v>
      </c>
      <c r="B232">
        <v>953</v>
      </c>
      <c r="C232">
        <f t="shared" si="3"/>
        <v>1.0919540229885057E-2</v>
      </c>
    </row>
    <row r="233" spans="1:3" x14ac:dyDescent="0.35">
      <c r="A233">
        <v>232</v>
      </c>
      <c r="B233">
        <v>953</v>
      </c>
      <c r="C233">
        <f t="shared" si="3"/>
        <v>1.0919540229885057E-2</v>
      </c>
    </row>
    <row r="234" spans="1:3" x14ac:dyDescent="0.35">
      <c r="A234">
        <v>233</v>
      </c>
      <c r="B234">
        <v>953</v>
      </c>
      <c r="C234">
        <f t="shared" si="3"/>
        <v>1.0919540229885057E-2</v>
      </c>
    </row>
    <row r="235" spans="1:3" x14ac:dyDescent="0.35">
      <c r="A235">
        <v>234</v>
      </c>
      <c r="B235">
        <v>953</v>
      </c>
      <c r="C235">
        <f t="shared" si="3"/>
        <v>1.0919540229885057E-2</v>
      </c>
    </row>
    <row r="236" spans="1:3" x14ac:dyDescent="0.35">
      <c r="A236">
        <v>235</v>
      </c>
      <c r="B236">
        <v>953</v>
      </c>
      <c r="C236">
        <f t="shared" si="3"/>
        <v>1.0919540229885057E-2</v>
      </c>
    </row>
    <row r="237" spans="1:3" x14ac:dyDescent="0.35">
      <c r="A237">
        <v>236</v>
      </c>
      <c r="B237">
        <v>953</v>
      </c>
      <c r="C237">
        <f t="shared" si="3"/>
        <v>1.0919540229885057E-2</v>
      </c>
    </row>
    <row r="238" spans="1:3" x14ac:dyDescent="0.35">
      <c r="A238">
        <v>237</v>
      </c>
      <c r="B238">
        <v>953</v>
      </c>
      <c r="C238">
        <f t="shared" si="3"/>
        <v>1.0919540229885057E-2</v>
      </c>
    </row>
    <row r="239" spans="1:3" x14ac:dyDescent="0.35">
      <c r="A239">
        <v>238</v>
      </c>
      <c r="B239">
        <v>953</v>
      </c>
      <c r="C239">
        <f t="shared" si="3"/>
        <v>1.0919540229885057E-2</v>
      </c>
    </row>
    <row r="240" spans="1:3" x14ac:dyDescent="0.35">
      <c r="A240">
        <v>239</v>
      </c>
      <c r="B240">
        <v>953</v>
      </c>
      <c r="C240">
        <f t="shared" si="3"/>
        <v>1.0919540229885057E-2</v>
      </c>
    </row>
    <row r="241" spans="1:3" x14ac:dyDescent="0.35">
      <c r="A241">
        <v>240</v>
      </c>
      <c r="B241">
        <v>953</v>
      </c>
      <c r="C241">
        <f t="shared" si="3"/>
        <v>1.0919540229885057E-2</v>
      </c>
    </row>
    <row r="242" spans="1:3" x14ac:dyDescent="0.35">
      <c r="A242">
        <v>241</v>
      </c>
      <c r="B242">
        <v>953</v>
      </c>
      <c r="C242">
        <f t="shared" si="3"/>
        <v>1.0919540229885057E-2</v>
      </c>
    </row>
    <row r="243" spans="1:3" x14ac:dyDescent="0.35">
      <c r="A243">
        <v>242</v>
      </c>
      <c r="B243">
        <v>953</v>
      </c>
      <c r="C243">
        <f t="shared" si="3"/>
        <v>1.0919540229885057E-2</v>
      </c>
    </row>
    <row r="244" spans="1:3" x14ac:dyDescent="0.35">
      <c r="A244">
        <v>243</v>
      </c>
      <c r="B244">
        <v>953</v>
      </c>
      <c r="C244">
        <f t="shared" si="3"/>
        <v>1.0919540229885057E-2</v>
      </c>
    </row>
    <row r="245" spans="1:3" x14ac:dyDescent="0.35">
      <c r="A245">
        <v>244</v>
      </c>
      <c r="B245">
        <v>953</v>
      </c>
      <c r="C245">
        <f t="shared" si="3"/>
        <v>1.0919540229885057E-2</v>
      </c>
    </row>
    <row r="246" spans="1:3" x14ac:dyDescent="0.35">
      <c r="A246">
        <v>245</v>
      </c>
      <c r="B246">
        <v>953</v>
      </c>
      <c r="C246">
        <f t="shared" si="3"/>
        <v>1.0919540229885057E-2</v>
      </c>
    </row>
    <row r="247" spans="1:3" x14ac:dyDescent="0.35">
      <c r="A247">
        <v>246</v>
      </c>
      <c r="B247">
        <v>953</v>
      </c>
      <c r="C247">
        <f t="shared" si="3"/>
        <v>1.0919540229885057E-2</v>
      </c>
    </row>
    <row r="248" spans="1:3" x14ac:dyDescent="0.35">
      <c r="A248">
        <v>247</v>
      </c>
      <c r="B248">
        <v>953</v>
      </c>
      <c r="C248">
        <f t="shared" si="3"/>
        <v>1.0919540229885057E-2</v>
      </c>
    </row>
    <row r="249" spans="1:3" x14ac:dyDescent="0.35">
      <c r="A249">
        <v>248</v>
      </c>
      <c r="B249">
        <v>954</v>
      </c>
      <c r="C249">
        <f t="shared" si="3"/>
        <v>1.1494252873563218E-2</v>
      </c>
    </row>
    <row r="250" spans="1:3" x14ac:dyDescent="0.35">
      <c r="A250">
        <v>249</v>
      </c>
      <c r="B250">
        <v>953</v>
      </c>
      <c r="C250">
        <f t="shared" si="3"/>
        <v>1.0919540229885057E-2</v>
      </c>
    </row>
    <row r="251" spans="1:3" x14ac:dyDescent="0.35">
      <c r="A251">
        <v>250</v>
      </c>
      <c r="B251">
        <v>953</v>
      </c>
      <c r="C251">
        <f t="shared" si="3"/>
        <v>1.0919540229885057E-2</v>
      </c>
    </row>
    <row r="252" spans="1:3" x14ac:dyDescent="0.35">
      <c r="A252">
        <v>251</v>
      </c>
      <c r="B252">
        <v>953</v>
      </c>
      <c r="C252">
        <f t="shared" si="3"/>
        <v>1.0919540229885057E-2</v>
      </c>
    </row>
    <row r="253" spans="1:3" x14ac:dyDescent="0.35">
      <c r="A253">
        <v>252</v>
      </c>
      <c r="B253">
        <v>954</v>
      </c>
      <c r="C253">
        <f t="shared" si="3"/>
        <v>1.1494252873563218E-2</v>
      </c>
    </row>
    <row r="254" spans="1:3" x14ac:dyDescent="0.35">
      <c r="A254">
        <v>253</v>
      </c>
      <c r="B254">
        <v>954</v>
      </c>
      <c r="C254">
        <f t="shared" si="3"/>
        <v>1.1494252873563218E-2</v>
      </c>
    </row>
    <row r="255" spans="1:3" x14ac:dyDescent="0.35">
      <c r="A255">
        <v>254</v>
      </c>
      <c r="B255">
        <v>954</v>
      </c>
      <c r="C255">
        <f t="shared" si="3"/>
        <v>1.1494252873563218E-2</v>
      </c>
    </row>
    <row r="256" spans="1:3" x14ac:dyDescent="0.35">
      <c r="A256">
        <v>255</v>
      </c>
      <c r="B256">
        <v>954</v>
      </c>
      <c r="C256">
        <f t="shared" si="3"/>
        <v>1.1494252873563218E-2</v>
      </c>
    </row>
    <row r="257" spans="1:3" x14ac:dyDescent="0.35">
      <c r="A257">
        <v>256</v>
      </c>
      <c r="B257">
        <v>954</v>
      </c>
      <c r="C257">
        <f t="shared" si="3"/>
        <v>1.1494252873563218E-2</v>
      </c>
    </row>
    <row r="258" spans="1:3" x14ac:dyDescent="0.35">
      <c r="A258">
        <v>257</v>
      </c>
      <c r="B258">
        <v>954</v>
      </c>
      <c r="C258">
        <f t="shared" si="3"/>
        <v>1.1494252873563218E-2</v>
      </c>
    </row>
    <row r="259" spans="1:3" x14ac:dyDescent="0.35">
      <c r="A259">
        <v>258</v>
      </c>
      <c r="B259">
        <v>954</v>
      </c>
      <c r="C259">
        <f t="shared" ref="C259:C322" si="4">IF((B259-934)/1740&lt;0,0,(B259-934)/1740)</f>
        <v>1.1494252873563218E-2</v>
      </c>
    </row>
    <row r="260" spans="1:3" x14ac:dyDescent="0.35">
      <c r="A260">
        <v>259</v>
      </c>
      <c r="B260">
        <v>954</v>
      </c>
      <c r="C260">
        <f t="shared" si="4"/>
        <v>1.1494252873563218E-2</v>
      </c>
    </row>
    <row r="261" spans="1:3" x14ac:dyDescent="0.35">
      <c r="A261">
        <v>260</v>
      </c>
      <c r="B261">
        <v>954</v>
      </c>
      <c r="C261">
        <f t="shared" si="4"/>
        <v>1.1494252873563218E-2</v>
      </c>
    </row>
    <row r="262" spans="1:3" x14ac:dyDescent="0.35">
      <c r="A262">
        <v>261</v>
      </c>
      <c r="B262">
        <v>955</v>
      </c>
      <c r="C262">
        <f t="shared" si="4"/>
        <v>1.2068965517241379E-2</v>
      </c>
    </row>
    <row r="263" spans="1:3" x14ac:dyDescent="0.35">
      <c r="A263">
        <v>262</v>
      </c>
      <c r="B263">
        <v>954</v>
      </c>
      <c r="C263">
        <f t="shared" si="4"/>
        <v>1.1494252873563218E-2</v>
      </c>
    </row>
    <row r="264" spans="1:3" x14ac:dyDescent="0.35">
      <c r="A264">
        <v>263</v>
      </c>
      <c r="B264">
        <v>954</v>
      </c>
      <c r="C264">
        <f t="shared" si="4"/>
        <v>1.1494252873563218E-2</v>
      </c>
    </row>
    <row r="265" spans="1:3" x14ac:dyDescent="0.35">
      <c r="A265">
        <v>264</v>
      </c>
      <c r="B265">
        <v>954</v>
      </c>
      <c r="C265">
        <f t="shared" si="4"/>
        <v>1.1494252873563218E-2</v>
      </c>
    </row>
    <row r="266" spans="1:3" x14ac:dyDescent="0.35">
      <c r="A266">
        <v>265</v>
      </c>
      <c r="B266">
        <v>954</v>
      </c>
      <c r="C266">
        <f t="shared" si="4"/>
        <v>1.1494252873563218E-2</v>
      </c>
    </row>
    <row r="267" spans="1:3" x14ac:dyDescent="0.35">
      <c r="A267">
        <v>266</v>
      </c>
      <c r="B267">
        <v>954</v>
      </c>
      <c r="C267">
        <f t="shared" si="4"/>
        <v>1.1494252873563218E-2</v>
      </c>
    </row>
    <row r="268" spans="1:3" x14ac:dyDescent="0.35">
      <c r="A268">
        <v>267</v>
      </c>
      <c r="B268">
        <v>954</v>
      </c>
      <c r="C268">
        <f t="shared" si="4"/>
        <v>1.1494252873563218E-2</v>
      </c>
    </row>
    <row r="269" spans="1:3" x14ac:dyDescent="0.35">
      <c r="A269">
        <v>268</v>
      </c>
      <c r="B269">
        <v>954</v>
      </c>
      <c r="C269">
        <f t="shared" si="4"/>
        <v>1.1494252873563218E-2</v>
      </c>
    </row>
    <row r="270" spans="1:3" x14ac:dyDescent="0.35">
      <c r="A270">
        <v>269</v>
      </c>
      <c r="B270">
        <v>953</v>
      </c>
      <c r="C270">
        <f t="shared" si="4"/>
        <v>1.0919540229885057E-2</v>
      </c>
    </row>
    <row r="271" spans="1:3" x14ac:dyDescent="0.35">
      <c r="A271">
        <v>270</v>
      </c>
      <c r="B271">
        <v>953</v>
      </c>
      <c r="C271">
        <f t="shared" si="4"/>
        <v>1.0919540229885057E-2</v>
      </c>
    </row>
    <row r="272" spans="1:3" x14ac:dyDescent="0.35">
      <c r="A272">
        <v>271</v>
      </c>
      <c r="B272">
        <v>952</v>
      </c>
      <c r="C272">
        <f t="shared" si="4"/>
        <v>1.0344827586206896E-2</v>
      </c>
    </row>
    <row r="273" spans="1:3" x14ac:dyDescent="0.35">
      <c r="A273">
        <v>272</v>
      </c>
      <c r="B273">
        <v>952</v>
      </c>
      <c r="C273">
        <f t="shared" si="4"/>
        <v>1.0344827586206896E-2</v>
      </c>
    </row>
    <row r="274" spans="1:3" x14ac:dyDescent="0.35">
      <c r="A274">
        <v>273</v>
      </c>
      <c r="B274">
        <v>952</v>
      </c>
      <c r="C274">
        <f t="shared" si="4"/>
        <v>1.0344827586206896E-2</v>
      </c>
    </row>
    <row r="275" spans="1:3" x14ac:dyDescent="0.35">
      <c r="A275">
        <v>274</v>
      </c>
      <c r="B275">
        <v>951</v>
      </c>
      <c r="C275">
        <f t="shared" si="4"/>
        <v>9.7701149425287355E-3</v>
      </c>
    </row>
    <row r="276" spans="1:3" x14ac:dyDescent="0.35">
      <c r="A276">
        <v>275</v>
      </c>
      <c r="B276">
        <v>951</v>
      </c>
      <c r="C276">
        <f t="shared" si="4"/>
        <v>9.7701149425287355E-3</v>
      </c>
    </row>
    <row r="277" spans="1:3" x14ac:dyDescent="0.35">
      <c r="A277">
        <v>276</v>
      </c>
      <c r="B277">
        <v>951</v>
      </c>
      <c r="C277">
        <f t="shared" si="4"/>
        <v>9.7701149425287355E-3</v>
      </c>
    </row>
    <row r="278" spans="1:3" x14ac:dyDescent="0.35">
      <c r="A278">
        <v>277</v>
      </c>
      <c r="B278">
        <v>951</v>
      </c>
      <c r="C278">
        <f t="shared" si="4"/>
        <v>9.7701149425287355E-3</v>
      </c>
    </row>
    <row r="279" spans="1:3" x14ac:dyDescent="0.35">
      <c r="A279">
        <v>278</v>
      </c>
      <c r="B279">
        <v>950</v>
      </c>
      <c r="C279">
        <f t="shared" si="4"/>
        <v>9.1954022988505746E-3</v>
      </c>
    </row>
    <row r="280" spans="1:3" x14ac:dyDescent="0.35">
      <c r="A280">
        <v>279</v>
      </c>
      <c r="B280">
        <v>950</v>
      </c>
      <c r="C280">
        <f t="shared" si="4"/>
        <v>9.1954022988505746E-3</v>
      </c>
    </row>
    <row r="281" spans="1:3" x14ac:dyDescent="0.35">
      <c r="A281">
        <v>280</v>
      </c>
      <c r="B281">
        <v>950</v>
      </c>
      <c r="C281">
        <f t="shared" si="4"/>
        <v>9.1954022988505746E-3</v>
      </c>
    </row>
    <row r="282" spans="1:3" x14ac:dyDescent="0.35">
      <c r="A282">
        <v>281</v>
      </c>
      <c r="B282">
        <v>950</v>
      </c>
      <c r="C282">
        <f t="shared" si="4"/>
        <v>9.1954022988505746E-3</v>
      </c>
    </row>
    <row r="283" spans="1:3" x14ac:dyDescent="0.35">
      <c r="A283">
        <v>282</v>
      </c>
      <c r="B283">
        <v>950</v>
      </c>
      <c r="C283">
        <f t="shared" si="4"/>
        <v>9.1954022988505746E-3</v>
      </c>
    </row>
    <row r="284" spans="1:3" x14ac:dyDescent="0.35">
      <c r="A284">
        <v>283</v>
      </c>
      <c r="B284">
        <v>950</v>
      </c>
      <c r="C284">
        <f t="shared" si="4"/>
        <v>9.1954022988505746E-3</v>
      </c>
    </row>
    <row r="285" spans="1:3" x14ac:dyDescent="0.35">
      <c r="A285">
        <v>284</v>
      </c>
      <c r="B285">
        <v>949</v>
      </c>
      <c r="C285">
        <f t="shared" si="4"/>
        <v>8.6206896551724137E-3</v>
      </c>
    </row>
    <row r="286" spans="1:3" x14ac:dyDescent="0.35">
      <c r="A286">
        <v>285</v>
      </c>
      <c r="B286">
        <v>948</v>
      </c>
      <c r="C286">
        <f t="shared" si="4"/>
        <v>8.0459770114942528E-3</v>
      </c>
    </row>
    <row r="287" spans="1:3" x14ac:dyDescent="0.35">
      <c r="A287">
        <v>286</v>
      </c>
      <c r="B287">
        <v>948</v>
      </c>
      <c r="C287">
        <f t="shared" si="4"/>
        <v>8.0459770114942528E-3</v>
      </c>
    </row>
    <row r="288" spans="1:3" x14ac:dyDescent="0.35">
      <c r="A288">
        <v>287</v>
      </c>
      <c r="B288">
        <v>948</v>
      </c>
      <c r="C288">
        <f t="shared" si="4"/>
        <v>8.0459770114942528E-3</v>
      </c>
    </row>
    <row r="289" spans="1:3" x14ac:dyDescent="0.35">
      <c r="A289">
        <v>288</v>
      </c>
      <c r="B289">
        <v>947</v>
      </c>
      <c r="C289">
        <f t="shared" si="4"/>
        <v>7.4712643678160919E-3</v>
      </c>
    </row>
    <row r="290" spans="1:3" x14ac:dyDescent="0.35">
      <c r="A290">
        <v>289</v>
      </c>
      <c r="B290">
        <v>947</v>
      </c>
      <c r="C290">
        <f t="shared" si="4"/>
        <v>7.4712643678160919E-3</v>
      </c>
    </row>
    <row r="291" spans="1:3" x14ac:dyDescent="0.35">
      <c r="A291">
        <v>290</v>
      </c>
      <c r="B291">
        <v>946</v>
      </c>
      <c r="C291">
        <f t="shared" si="4"/>
        <v>6.8965517241379309E-3</v>
      </c>
    </row>
    <row r="292" spans="1:3" x14ac:dyDescent="0.35">
      <c r="A292">
        <v>291</v>
      </c>
      <c r="B292">
        <v>946</v>
      </c>
      <c r="C292">
        <f t="shared" si="4"/>
        <v>6.8965517241379309E-3</v>
      </c>
    </row>
    <row r="293" spans="1:3" x14ac:dyDescent="0.35">
      <c r="A293">
        <v>292</v>
      </c>
      <c r="B293">
        <v>946</v>
      </c>
      <c r="C293">
        <f t="shared" si="4"/>
        <v>6.8965517241379309E-3</v>
      </c>
    </row>
    <row r="294" spans="1:3" x14ac:dyDescent="0.35">
      <c r="A294">
        <v>293</v>
      </c>
      <c r="B294">
        <v>945</v>
      </c>
      <c r="C294">
        <f t="shared" si="4"/>
        <v>6.32183908045977E-3</v>
      </c>
    </row>
    <row r="295" spans="1:3" x14ac:dyDescent="0.35">
      <c r="A295">
        <v>294</v>
      </c>
      <c r="B295">
        <v>945</v>
      </c>
      <c r="C295">
        <f t="shared" si="4"/>
        <v>6.32183908045977E-3</v>
      </c>
    </row>
    <row r="296" spans="1:3" x14ac:dyDescent="0.35">
      <c r="A296">
        <v>295</v>
      </c>
      <c r="B296">
        <v>946</v>
      </c>
      <c r="C296">
        <f t="shared" si="4"/>
        <v>6.8965517241379309E-3</v>
      </c>
    </row>
    <row r="297" spans="1:3" x14ac:dyDescent="0.35">
      <c r="A297">
        <v>296</v>
      </c>
      <c r="B297">
        <v>945</v>
      </c>
      <c r="C297">
        <f t="shared" si="4"/>
        <v>6.32183908045977E-3</v>
      </c>
    </row>
    <row r="298" spans="1:3" x14ac:dyDescent="0.35">
      <c r="A298">
        <v>297</v>
      </c>
      <c r="B298">
        <v>945</v>
      </c>
      <c r="C298">
        <f t="shared" si="4"/>
        <v>6.32183908045977E-3</v>
      </c>
    </row>
    <row r="299" spans="1:3" x14ac:dyDescent="0.35">
      <c r="A299">
        <v>298</v>
      </c>
      <c r="B299">
        <v>945</v>
      </c>
      <c r="C299">
        <f t="shared" si="4"/>
        <v>6.32183908045977E-3</v>
      </c>
    </row>
    <row r="300" spans="1:3" x14ac:dyDescent="0.35">
      <c r="A300">
        <v>299</v>
      </c>
      <c r="B300">
        <v>945</v>
      </c>
      <c r="C300">
        <f t="shared" si="4"/>
        <v>6.32183908045977E-3</v>
      </c>
    </row>
    <row r="301" spans="1:3" x14ac:dyDescent="0.35">
      <c r="A301">
        <v>300</v>
      </c>
      <c r="B301">
        <v>945</v>
      </c>
      <c r="C301">
        <f t="shared" si="4"/>
        <v>6.32183908045977E-3</v>
      </c>
    </row>
    <row r="302" spans="1:3" x14ac:dyDescent="0.35">
      <c r="A302">
        <v>301</v>
      </c>
      <c r="B302">
        <v>945</v>
      </c>
      <c r="C302">
        <f t="shared" si="4"/>
        <v>6.32183908045977E-3</v>
      </c>
    </row>
    <row r="303" spans="1:3" x14ac:dyDescent="0.35">
      <c r="A303">
        <v>302</v>
      </c>
      <c r="B303">
        <v>945</v>
      </c>
      <c r="C303">
        <f t="shared" si="4"/>
        <v>6.32183908045977E-3</v>
      </c>
    </row>
    <row r="304" spans="1:3" x14ac:dyDescent="0.35">
      <c r="A304">
        <v>303</v>
      </c>
      <c r="B304">
        <v>944</v>
      </c>
      <c r="C304">
        <f t="shared" si="4"/>
        <v>5.7471264367816091E-3</v>
      </c>
    </row>
    <row r="305" spans="1:3" x14ac:dyDescent="0.35">
      <c r="A305">
        <v>304</v>
      </c>
      <c r="B305">
        <v>945</v>
      </c>
      <c r="C305">
        <f t="shared" si="4"/>
        <v>6.32183908045977E-3</v>
      </c>
    </row>
    <row r="306" spans="1:3" x14ac:dyDescent="0.35">
      <c r="A306">
        <v>305</v>
      </c>
      <c r="B306">
        <v>945</v>
      </c>
      <c r="C306">
        <f t="shared" si="4"/>
        <v>6.32183908045977E-3</v>
      </c>
    </row>
    <row r="307" spans="1:3" x14ac:dyDescent="0.35">
      <c r="A307">
        <v>306</v>
      </c>
      <c r="B307">
        <v>945</v>
      </c>
      <c r="C307">
        <f t="shared" si="4"/>
        <v>6.32183908045977E-3</v>
      </c>
    </row>
    <row r="308" spans="1:3" x14ac:dyDescent="0.35">
      <c r="A308">
        <v>307</v>
      </c>
      <c r="B308">
        <v>945</v>
      </c>
      <c r="C308">
        <f t="shared" si="4"/>
        <v>6.32183908045977E-3</v>
      </c>
    </row>
    <row r="309" spans="1:3" x14ac:dyDescent="0.35">
      <c r="A309">
        <v>308</v>
      </c>
      <c r="B309">
        <v>945</v>
      </c>
      <c r="C309">
        <f t="shared" si="4"/>
        <v>6.32183908045977E-3</v>
      </c>
    </row>
    <row r="310" spans="1:3" x14ac:dyDescent="0.35">
      <c r="A310">
        <v>309</v>
      </c>
      <c r="B310">
        <v>944</v>
      </c>
      <c r="C310">
        <f t="shared" si="4"/>
        <v>5.7471264367816091E-3</v>
      </c>
    </row>
    <row r="311" spans="1:3" x14ac:dyDescent="0.35">
      <c r="A311">
        <v>310</v>
      </c>
      <c r="B311">
        <v>944</v>
      </c>
      <c r="C311">
        <f t="shared" si="4"/>
        <v>5.7471264367816091E-3</v>
      </c>
    </row>
    <row r="312" spans="1:3" x14ac:dyDescent="0.35">
      <c r="A312">
        <v>311</v>
      </c>
      <c r="B312">
        <v>944</v>
      </c>
      <c r="C312">
        <f t="shared" si="4"/>
        <v>5.7471264367816091E-3</v>
      </c>
    </row>
    <row r="313" spans="1:3" x14ac:dyDescent="0.35">
      <c r="A313">
        <v>312</v>
      </c>
      <c r="B313">
        <v>944</v>
      </c>
      <c r="C313">
        <f t="shared" si="4"/>
        <v>5.7471264367816091E-3</v>
      </c>
    </row>
    <row r="314" spans="1:3" x14ac:dyDescent="0.35">
      <c r="A314">
        <v>313</v>
      </c>
      <c r="B314">
        <v>943</v>
      </c>
      <c r="C314">
        <f t="shared" si="4"/>
        <v>5.1724137931034482E-3</v>
      </c>
    </row>
    <row r="315" spans="1:3" x14ac:dyDescent="0.35">
      <c r="A315">
        <v>314</v>
      </c>
      <c r="B315">
        <v>943</v>
      </c>
      <c r="C315">
        <f t="shared" si="4"/>
        <v>5.1724137931034482E-3</v>
      </c>
    </row>
    <row r="316" spans="1:3" x14ac:dyDescent="0.35">
      <c r="A316">
        <v>315</v>
      </c>
      <c r="B316">
        <v>942</v>
      </c>
      <c r="C316">
        <f t="shared" si="4"/>
        <v>4.5977011494252873E-3</v>
      </c>
    </row>
    <row r="317" spans="1:3" x14ac:dyDescent="0.35">
      <c r="A317">
        <v>316</v>
      </c>
      <c r="B317">
        <v>942</v>
      </c>
      <c r="C317">
        <f t="shared" si="4"/>
        <v>4.5977011494252873E-3</v>
      </c>
    </row>
    <row r="318" spans="1:3" x14ac:dyDescent="0.35">
      <c r="A318">
        <v>317</v>
      </c>
      <c r="B318">
        <v>942</v>
      </c>
      <c r="C318">
        <f t="shared" si="4"/>
        <v>4.5977011494252873E-3</v>
      </c>
    </row>
    <row r="319" spans="1:3" x14ac:dyDescent="0.35">
      <c r="A319">
        <v>318</v>
      </c>
      <c r="B319">
        <v>942</v>
      </c>
      <c r="C319">
        <f t="shared" si="4"/>
        <v>4.5977011494252873E-3</v>
      </c>
    </row>
    <row r="320" spans="1:3" x14ac:dyDescent="0.35">
      <c r="A320">
        <v>319</v>
      </c>
      <c r="B320">
        <v>942</v>
      </c>
      <c r="C320">
        <f t="shared" si="4"/>
        <v>4.5977011494252873E-3</v>
      </c>
    </row>
    <row r="321" spans="1:3" x14ac:dyDescent="0.35">
      <c r="A321">
        <v>320</v>
      </c>
      <c r="B321">
        <v>942</v>
      </c>
      <c r="C321">
        <f t="shared" si="4"/>
        <v>4.5977011494252873E-3</v>
      </c>
    </row>
    <row r="322" spans="1:3" x14ac:dyDescent="0.35">
      <c r="A322">
        <v>321</v>
      </c>
      <c r="B322">
        <v>942</v>
      </c>
      <c r="C322">
        <f t="shared" si="4"/>
        <v>4.5977011494252873E-3</v>
      </c>
    </row>
    <row r="323" spans="1:3" x14ac:dyDescent="0.35">
      <c r="A323">
        <v>322</v>
      </c>
      <c r="B323">
        <v>942</v>
      </c>
      <c r="C323">
        <f t="shared" ref="C323:C364" si="5">IF((B323-934)/1740&lt;0,0,(B323-934)/1740)</f>
        <v>4.5977011494252873E-3</v>
      </c>
    </row>
    <row r="324" spans="1:3" x14ac:dyDescent="0.35">
      <c r="A324">
        <v>323</v>
      </c>
      <c r="B324">
        <v>942</v>
      </c>
      <c r="C324">
        <f t="shared" si="5"/>
        <v>4.5977011494252873E-3</v>
      </c>
    </row>
    <row r="325" spans="1:3" x14ac:dyDescent="0.35">
      <c r="A325">
        <v>324</v>
      </c>
      <c r="B325">
        <v>942</v>
      </c>
      <c r="C325">
        <f t="shared" si="5"/>
        <v>4.5977011494252873E-3</v>
      </c>
    </row>
    <row r="326" spans="1:3" x14ac:dyDescent="0.35">
      <c r="A326">
        <v>325</v>
      </c>
      <c r="B326">
        <v>942</v>
      </c>
      <c r="C326">
        <f t="shared" si="5"/>
        <v>4.5977011494252873E-3</v>
      </c>
    </row>
    <row r="327" spans="1:3" x14ac:dyDescent="0.35">
      <c r="A327">
        <v>326</v>
      </c>
      <c r="B327">
        <v>941</v>
      </c>
      <c r="C327">
        <f t="shared" si="5"/>
        <v>4.0229885057471264E-3</v>
      </c>
    </row>
    <row r="328" spans="1:3" x14ac:dyDescent="0.35">
      <c r="A328">
        <v>327</v>
      </c>
      <c r="B328">
        <v>941</v>
      </c>
      <c r="C328">
        <f t="shared" si="5"/>
        <v>4.0229885057471264E-3</v>
      </c>
    </row>
    <row r="329" spans="1:3" x14ac:dyDescent="0.35">
      <c r="A329">
        <v>328</v>
      </c>
      <c r="B329">
        <v>940</v>
      </c>
      <c r="C329">
        <f t="shared" si="5"/>
        <v>3.4482758620689655E-3</v>
      </c>
    </row>
    <row r="330" spans="1:3" x14ac:dyDescent="0.35">
      <c r="A330">
        <v>329</v>
      </c>
      <c r="B330">
        <v>941</v>
      </c>
      <c r="C330">
        <f t="shared" si="5"/>
        <v>4.0229885057471264E-3</v>
      </c>
    </row>
    <row r="331" spans="1:3" x14ac:dyDescent="0.35">
      <c r="A331">
        <v>330</v>
      </c>
      <c r="B331">
        <v>943</v>
      </c>
      <c r="C331">
        <f t="shared" si="5"/>
        <v>5.1724137931034482E-3</v>
      </c>
    </row>
    <row r="332" spans="1:3" x14ac:dyDescent="0.35">
      <c r="A332">
        <v>331</v>
      </c>
      <c r="B332">
        <v>942</v>
      </c>
      <c r="C332">
        <f t="shared" si="5"/>
        <v>4.5977011494252873E-3</v>
      </c>
    </row>
    <row r="333" spans="1:3" x14ac:dyDescent="0.35">
      <c r="A333">
        <v>332</v>
      </c>
      <c r="B333">
        <v>942</v>
      </c>
      <c r="C333">
        <f t="shared" si="5"/>
        <v>4.5977011494252873E-3</v>
      </c>
    </row>
    <row r="334" spans="1:3" x14ac:dyDescent="0.35">
      <c r="A334">
        <v>333</v>
      </c>
      <c r="B334">
        <v>941</v>
      </c>
      <c r="C334">
        <f t="shared" si="5"/>
        <v>4.0229885057471264E-3</v>
      </c>
    </row>
    <row r="335" spans="1:3" x14ac:dyDescent="0.35">
      <c r="A335">
        <v>334</v>
      </c>
      <c r="B335">
        <v>941</v>
      </c>
      <c r="C335">
        <f t="shared" si="5"/>
        <v>4.0229885057471264E-3</v>
      </c>
    </row>
    <row r="336" spans="1:3" x14ac:dyDescent="0.35">
      <c r="A336">
        <v>335</v>
      </c>
      <c r="B336">
        <v>941</v>
      </c>
      <c r="C336">
        <f t="shared" si="5"/>
        <v>4.0229885057471264E-3</v>
      </c>
    </row>
    <row r="337" spans="1:3" x14ac:dyDescent="0.35">
      <c r="A337">
        <v>336</v>
      </c>
      <c r="B337">
        <v>941</v>
      </c>
      <c r="C337">
        <f t="shared" si="5"/>
        <v>4.0229885057471264E-3</v>
      </c>
    </row>
    <row r="338" spans="1:3" x14ac:dyDescent="0.35">
      <c r="A338">
        <v>337</v>
      </c>
      <c r="B338">
        <v>941</v>
      </c>
      <c r="C338">
        <f t="shared" si="5"/>
        <v>4.0229885057471264E-3</v>
      </c>
    </row>
    <row r="339" spans="1:3" x14ac:dyDescent="0.35">
      <c r="A339">
        <v>338</v>
      </c>
      <c r="B339">
        <v>940</v>
      </c>
      <c r="C339">
        <f t="shared" si="5"/>
        <v>3.4482758620689655E-3</v>
      </c>
    </row>
    <row r="340" spans="1:3" x14ac:dyDescent="0.35">
      <c r="A340">
        <v>339</v>
      </c>
      <c r="B340">
        <v>940</v>
      </c>
      <c r="C340">
        <f t="shared" si="5"/>
        <v>3.4482758620689655E-3</v>
      </c>
    </row>
    <row r="341" spans="1:3" x14ac:dyDescent="0.35">
      <c r="A341">
        <v>340</v>
      </c>
      <c r="B341">
        <v>940</v>
      </c>
      <c r="C341">
        <f t="shared" si="5"/>
        <v>3.4482758620689655E-3</v>
      </c>
    </row>
    <row r="342" spans="1:3" x14ac:dyDescent="0.35">
      <c r="A342">
        <v>341</v>
      </c>
      <c r="B342">
        <v>940</v>
      </c>
      <c r="C342">
        <f t="shared" si="5"/>
        <v>3.4482758620689655E-3</v>
      </c>
    </row>
    <row r="343" spans="1:3" x14ac:dyDescent="0.35">
      <c r="A343">
        <v>342</v>
      </c>
      <c r="B343">
        <v>940</v>
      </c>
      <c r="C343">
        <f t="shared" si="5"/>
        <v>3.4482758620689655E-3</v>
      </c>
    </row>
    <row r="344" spans="1:3" x14ac:dyDescent="0.35">
      <c r="A344">
        <v>343</v>
      </c>
      <c r="B344">
        <v>939</v>
      </c>
      <c r="C344">
        <f t="shared" si="5"/>
        <v>2.8735632183908046E-3</v>
      </c>
    </row>
    <row r="345" spans="1:3" x14ac:dyDescent="0.35">
      <c r="A345">
        <v>344</v>
      </c>
      <c r="B345">
        <v>939</v>
      </c>
      <c r="C345">
        <f t="shared" si="5"/>
        <v>2.8735632183908046E-3</v>
      </c>
    </row>
    <row r="346" spans="1:3" x14ac:dyDescent="0.35">
      <c r="A346">
        <v>345</v>
      </c>
      <c r="B346">
        <v>940</v>
      </c>
      <c r="C346">
        <f t="shared" si="5"/>
        <v>3.4482758620689655E-3</v>
      </c>
    </row>
    <row r="347" spans="1:3" x14ac:dyDescent="0.35">
      <c r="A347">
        <v>346</v>
      </c>
      <c r="B347">
        <v>940</v>
      </c>
      <c r="C347">
        <f t="shared" si="5"/>
        <v>3.4482758620689655E-3</v>
      </c>
    </row>
    <row r="348" spans="1:3" x14ac:dyDescent="0.35">
      <c r="A348">
        <v>347</v>
      </c>
      <c r="B348">
        <v>941</v>
      </c>
      <c r="C348">
        <f t="shared" si="5"/>
        <v>4.0229885057471264E-3</v>
      </c>
    </row>
    <row r="349" spans="1:3" x14ac:dyDescent="0.35">
      <c r="A349">
        <v>348</v>
      </c>
      <c r="B349">
        <v>941</v>
      </c>
      <c r="C349">
        <f t="shared" si="5"/>
        <v>4.0229885057471264E-3</v>
      </c>
    </row>
    <row r="350" spans="1:3" x14ac:dyDescent="0.35">
      <c r="A350">
        <v>349</v>
      </c>
      <c r="B350">
        <v>941</v>
      </c>
      <c r="C350">
        <f t="shared" si="5"/>
        <v>4.0229885057471264E-3</v>
      </c>
    </row>
    <row r="351" spans="1:3" x14ac:dyDescent="0.35">
      <c r="A351">
        <v>350</v>
      </c>
      <c r="B351">
        <v>941</v>
      </c>
      <c r="C351">
        <f t="shared" si="5"/>
        <v>4.0229885057471264E-3</v>
      </c>
    </row>
    <row r="352" spans="1:3" x14ac:dyDescent="0.35">
      <c r="A352">
        <v>351</v>
      </c>
      <c r="B352">
        <v>940</v>
      </c>
      <c r="C352">
        <f t="shared" si="5"/>
        <v>3.4482758620689655E-3</v>
      </c>
    </row>
    <row r="353" spans="1:3" x14ac:dyDescent="0.35">
      <c r="A353">
        <v>352</v>
      </c>
      <c r="B353">
        <v>940</v>
      </c>
      <c r="C353">
        <f t="shared" si="5"/>
        <v>3.4482758620689655E-3</v>
      </c>
    </row>
    <row r="354" spans="1:3" x14ac:dyDescent="0.35">
      <c r="A354">
        <v>353</v>
      </c>
      <c r="B354">
        <v>939</v>
      </c>
      <c r="C354">
        <f t="shared" si="5"/>
        <v>2.8735632183908046E-3</v>
      </c>
    </row>
    <row r="355" spans="1:3" x14ac:dyDescent="0.35">
      <c r="A355">
        <v>354</v>
      </c>
      <c r="B355">
        <v>939</v>
      </c>
      <c r="C355">
        <f t="shared" si="5"/>
        <v>2.8735632183908046E-3</v>
      </c>
    </row>
    <row r="356" spans="1:3" x14ac:dyDescent="0.35">
      <c r="A356">
        <v>355</v>
      </c>
      <c r="B356">
        <v>939</v>
      </c>
      <c r="C356">
        <f t="shared" si="5"/>
        <v>2.8735632183908046E-3</v>
      </c>
    </row>
    <row r="357" spans="1:3" x14ac:dyDescent="0.35">
      <c r="A357">
        <v>356</v>
      </c>
      <c r="B357">
        <v>938</v>
      </c>
      <c r="C357">
        <f t="shared" si="5"/>
        <v>2.2988505747126436E-3</v>
      </c>
    </row>
    <row r="358" spans="1:3" x14ac:dyDescent="0.35">
      <c r="A358">
        <v>357</v>
      </c>
      <c r="B358">
        <v>939</v>
      </c>
      <c r="C358">
        <f t="shared" si="5"/>
        <v>2.8735632183908046E-3</v>
      </c>
    </row>
    <row r="359" spans="1:3" x14ac:dyDescent="0.35">
      <c r="A359">
        <v>358</v>
      </c>
      <c r="B359">
        <v>939</v>
      </c>
      <c r="C359">
        <f t="shared" si="5"/>
        <v>2.8735632183908046E-3</v>
      </c>
    </row>
    <row r="360" spans="1:3" x14ac:dyDescent="0.35">
      <c r="A360">
        <v>359</v>
      </c>
      <c r="B360">
        <v>939</v>
      </c>
      <c r="C360">
        <f t="shared" si="5"/>
        <v>2.8735632183908046E-3</v>
      </c>
    </row>
    <row r="361" spans="1:3" x14ac:dyDescent="0.35">
      <c r="A361">
        <v>360</v>
      </c>
      <c r="B361">
        <v>939</v>
      </c>
      <c r="C361">
        <f t="shared" si="5"/>
        <v>2.8735632183908046E-3</v>
      </c>
    </row>
    <row r="362" spans="1:3" x14ac:dyDescent="0.35">
      <c r="A362">
        <v>361</v>
      </c>
      <c r="B362">
        <v>939</v>
      </c>
      <c r="C362">
        <f t="shared" si="5"/>
        <v>2.8735632183908046E-3</v>
      </c>
    </row>
    <row r="363" spans="1:3" x14ac:dyDescent="0.35">
      <c r="A363">
        <v>362</v>
      </c>
      <c r="B363">
        <v>939</v>
      </c>
      <c r="C363">
        <f t="shared" si="5"/>
        <v>2.8735632183908046E-3</v>
      </c>
    </row>
    <row r="364" spans="1:3" x14ac:dyDescent="0.35">
      <c r="A364">
        <v>363</v>
      </c>
      <c r="B364">
        <v>939</v>
      </c>
      <c r="C364">
        <f t="shared" si="5"/>
        <v>2.8735632183908046E-3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F43E-2E5F-4604-B3F9-2941FA46CF27}">
  <dimension ref="A1:G206"/>
  <sheetViews>
    <sheetView topLeftCell="A2" workbookViewId="0">
      <selection activeCell="K12" sqref="K12"/>
    </sheetView>
  </sheetViews>
  <sheetFormatPr baseColWidth="10" defaultRowHeight="14.5" x14ac:dyDescent="0.35"/>
  <cols>
    <col min="2" max="2" width="17.08984375" customWidth="1"/>
  </cols>
  <sheetData>
    <row r="1" spans="1:7" x14ac:dyDescent="0.35">
      <c r="A1" t="s">
        <v>7</v>
      </c>
      <c r="B1" t="s">
        <v>8</v>
      </c>
      <c r="C1" t="s">
        <v>9</v>
      </c>
    </row>
    <row r="2" spans="1:7" x14ac:dyDescent="0.35">
      <c r="A2">
        <v>1</v>
      </c>
      <c r="B2">
        <v>931</v>
      </c>
      <c r="C2">
        <f>IF((B2-931)/1740&lt;0,0,(B2-931)/1740)</f>
        <v>0</v>
      </c>
    </row>
    <row r="3" spans="1:7" x14ac:dyDescent="0.35">
      <c r="A3">
        <v>2</v>
      </c>
      <c r="B3">
        <v>931</v>
      </c>
      <c r="C3">
        <f t="shared" ref="C3:C66" si="0">IF((B3-931)/1740&lt;0,0,(B3-931)/1740)</f>
        <v>0</v>
      </c>
      <c r="E3" t="s">
        <v>10</v>
      </c>
      <c r="F3">
        <v>2</v>
      </c>
      <c r="G3" t="s">
        <v>13</v>
      </c>
    </row>
    <row r="4" spans="1:7" x14ac:dyDescent="0.35">
      <c r="A4">
        <v>3</v>
      </c>
      <c r="B4">
        <v>931</v>
      </c>
      <c r="C4">
        <f t="shared" si="0"/>
        <v>0</v>
      </c>
      <c r="E4" t="s">
        <v>11</v>
      </c>
      <c r="F4">
        <f>F3/(SUM(C40:C182))</f>
        <v>0.16946676406135872</v>
      </c>
      <c r="G4" t="s">
        <v>12</v>
      </c>
    </row>
    <row r="5" spans="1:7" x14ac:dyDescent="0.35">
      <c r="A5">
        <v>4</v>
      </c>
      <c r="B5">
        <v>931</v>
      </c>
      <c r="C5">
        <f t="shared" si="0"/>
        <v>0</v>
      </c>
      <c r="F5">
        <f>F4*1000</f>
        <v>169.4667640613587</v>
      </c>
      <c r="G5" t="s">
        <v>14</v>
      </c>
    </row>
    <row r="6" spans="1:7" x14ac:dyDescent="0.35">
      <c r="A6">
        <v>5</v>
      </c>
      <c r="B6">
        <v>931</v>
      </c>
      <c r="C6">
        <f t="shared" si="0"/>
        <v>0</v>
      </c>
    </row>
    <row r="7" spans="1:7" x14ac:dyDescent="0.35">
      <c r="A7">
        <v>6</v>
      </c>
      <c r="B7">
        <v>931</v>
      </c>
      <c r="C7">
        <f t="shared" si="0"/>
        <v>0</v>
      </c>
    </row>
    <row r="8" spans="1:7" x14ac:dyDescent="0.35">
      <c r="A8">
        <v>7</v>
      </c>
      <c r="B8">
        <v>931</v>
      </c>
      <c r="C8">
        <f t="shared" si="0"/>
        <v>0</v>
      </c>
    </row>
    <row r="9" spans="1:7" x14ac:dyDescent="0.35">
      <c r="A9">
        <v>8</v>
      </c>
      <c r="B9">
        <v>931</v>
      </c>
      <c r="C9">
        <f t="shared" si="0"/>
        <v>0</v>
      </c>
    </row>
    <row r="10" spans="1:7" x14ac:dyDescent="0.35">
      <c r="A10">
        <v>9</v>
      </c>
      <c r="B10">
        <v>931</v>
      </c>
      <c r="C10">
        <f t="shared" si="0"/>
        <v>0</v>
      </c>
    </row>
    <row r="11" spans="1:7" x14ac:dyDescent="0.35">
      <c r="A11">
        <v>10</v>
      </c>
      <c r="B11">
        <v>931</v>
      </c>
      <c r="C11">
        <f t="shared" si="0"/>
        <v>0</v>
      </c>
    </row>
    <row r="12" spans="1:7" x14ac:dyDescent="0.35">
      <c r="A12">
        <v>11</v>
      </c>
      <c r="B12">
        <v>931</v>
      </c>
      <c r="C12">
        <f t="shared" si="0"/>
        <v>0</v>
      </c>
    </row>
    <row r="13" spans="1:7" x14ac:dyDescent="0.35">
      <c r="A13">
        <v>12</v>
      </c>
      <c r="B13">
        <v>931</v>
      </c>
      <c r="C13">
        <f t="shared" si="0"/>
        <v>0</v>
      </c>
    </row>
    <row r="14" spans="1:7" x14ac:dyDescent="0.35">
      <c r="A14">
        <v>13</v>
      </c>
      <c r="B14">
        <v>931</v>
      </c>
      <c r="C14">
        <f t="shared" si="0"/>
        <v>0</v>
      </c>
    </row>
    <row r="15" spans="1:7" x14ac:dyDescent="0.35">
      <c r="A15">
        <v>14</v>
      </c>
      <c r="B15">
        <v>931</v>
      </c>
      <c r="C15">
        <f t="shared" si="0"/>
        <v>0</v>
      </c>
    </row>
    <row r="16" spans="1:7" x14ac:dyDescent="0.35">
      <c r="A16">
        <v>15</v>
      </c>
      <c r="B16">
        <v>931</v>
      </c>
      <c r="C16">
        <f t="shared" si="0"/>
        <v>0</v>
      </c>
    </row>
    <row r="17" spans="1:3" x14ac:dyDescent="0.35">
      <c r="A17">
        <v>16</v>
      </c>
      <c r="B17">
        <v>931</v>
      </c>
      <c r="C17">
        <f t="shared" si="0"/>
        <v>0</v>
      </c>
    </row>
    <row r="18" spans="1:3" x14ac:dyDescent="0.35">
      <c r="A18">
        <v>17</v>
      </c>
      <c r="B18">
        <v>931</v>
      </c>
      <c r="C18">
        <f t="shared" si="0"/>
        <v>0</v>
      </c>
    </row>
    <row r="19" spans="1:3" x14ac:dyDescent="0.35">
      <c r="A19">
        <v>18</v>
      </c>
      <c r="B19">
        <v>931</v>
      </c>
      <c r="C19">
        <f t="shared" si="0"/>
        <v>0</v>
      </c>
    </row>
    <row r="20" spans="1:3" x14ac:dyDescent="0.35">
      <c r="A20">
        <v>19</v>
      </c>
      <c r="B20">
        <v>931</v>
      </c>
      <c r="C20">
        <f t="shared" si="0"/>
        <v>0</v>
      </c>
    </row>
    <row r="21" spans="1:3" x14ac:dyDescent="0.35">
      <c r="A21">
        <v>20</v>
      </c>
      <c r="B21">
        <v>931</v>
      </c>
      <c r="C21">
        <f t="shared" si="0"/>
        <v>0</v>
      </c>
    </row>
    <row r="22" spans="1:3" x14ac:dyDescent="0.35">
      <c r="A22">
        <v>21</v>
      </c>
      <c r="B22">
        <v>931</v>
      </c>
      <c r="C22">
        <f t="shared" si="0"/>
        <v>0</v>
      </c>
    </row>
    <row r="23" spans="1:3" x14ac:dyDescent="0.35">
      <c r="A23">
        <v>22</v>
      </c>
      <c r="B23">
        <v>931</v>
      </c>
      <c r="C23">
        <f t="shared" si="0"/>
        <v>0</v>
      </c>
    </row>
    <row r="24" spans="1:3" x14ac:dyDescent="0.35">
      <c r="A24">
        <v>23</v>
      </c>
      <c r="B24">
        <v>931</v>
      </c>
      <c r="C24">
        <f t="shared" si="0"/>
        <v>0</v>
      </c>
    </row>
    <row r="25" spans="1:3" x14ac:dyDescent="0.35">
      <c r="A25">
        <v>24</v>
      </c>
      <c r="B25">
        <v>931</v>
      </c>
      <c r="C25">
        <f t="shared" si="0"/>
        <v>0</v>
      </c>
    </row>
    <row r="26" spans="1:3" x14ac:dyDescent="0.35">
      <c r="A26">
        <v>25</v>
      </c>
      <c r="B26">
        <v>931</v>
      </c>
      <c r="C26">
        <f t="shared" si="0"/>
        <v>0</v>
      </c>
    </row>
    <row r="27" spans="1:3" x14ac:dyDescent="0.35">
      <c r="A27">
        <v>26</v>
      </c>
      <c r="B27">
        <v>931</v>
      </c>
      <c r="C27">
        <f t="shared" si="0"/>
        <v>0</v>
      </c>
    </row>
    <row r="28" spans="1:3" x14ac:dyDescent="0.35">
      <c r="A28">
        <v>27</v>
      </c>
      <c r="B28">
        <v>931</v>
      </c>
      <c r="C28">
        <f t="shared" si="0"/>
        <v>0</v>
      </c>
    </row>
    <row r="29" spans="1:3" x14ac:dyDescent="0.35">
      <c r="A29">
        <v>28</v>
      </c>
      <c r="B29">
        <v>931</v>
      </c>
      <c r="C29">
        <f t="shared" si="0"/>
        <v>0</v>
      </c>
    </row>
    <row r="30" spans="1:3" x14ac:dyDescent="0.35">
      <c r="A30">
        <v>29</v>
      </c>
      <c r="B30">
        <v>931</v>
      </c>
      <c r="C30">
        <f t="shared" si="0"/>
        <v>0</v>
      </c>
    </row>
    <row r="31" spans="1:3" x14ac:dyDescent="0.35">
      <c r="A31">
        <v>30</v>
      </c>
      <c r="B31">
        <v>931</v>
      </c>
      <c r="C31">
        <f t="shared" si="0"/>
        <v>0</v>
      </c>
    </row>
    <row r="32" spans="1:3" x14ac:dyDescent="0.35">
      <c r="A32">
        <v>31</v>
      </c>
      <c r="B32">
        <v>931</v>
      </c>
      <c r="C32">
        <f t="shared" si="0"/>
        <v>0</v>
      </c>
    </row>
    <row r="33" spans="1:3" x14ac:dyDescent="0.35">
      <c r="A33">
        <v>32</v>
      </c>
      <c r="B33">
        <v>931</v>
      </c>
      <c r="C33">
        <f t="shared" si="0"/>
        <v>0</v>
      </c>
    </row>
    <row r="34" spans="1:3" x14ac:dyDescent="0.35">
      <c r="A34">
        <v>33</v>
      </c>
      <c r="B34">
        <v>931</v>
      </c>
      <c r="C34">
        <f t="shared" si="0"/>
        <v>0</v>
      </c>
    </row>
    <row r="35" spans="1:3" x14ac:dyDescent="0.35">
      <c r="A35">
        <v>34</v>
      </c>
      <c r="B35">
        <v>931</v>
      </c>
      <c r="C35">
        <f t="shared" si="0"/>
        <v>0</v>
      </c>
    </row>
    <row r="36" spans="1:3" x14ac:dyDescent="0.35">
      <c r="A36">
        <v>35</v>
      </c>
      <c r="B36">
        <v>931</v>
      </c>
      <c r="C36">
        <f t="shared" si="0"/>
        <v>0</v>
      </c>
    </row>
    <row r="37" spans="1:3" x14ac:dyDescent="0.35">
      <c r="A37">
        <v>36</v>
      </c>
      <c r="B37">
        <v>931</v>
      </c>
      <c r="C37">
        <f t="shared" si="0"/>
        <v>0</v>
      </c>
    </row>
    <row r="38" spans="1:3" x14ac:dyDescent="0.35">
      <c r="A38">
        <v>37</v>
      </c>
      <c r="B38">
        <v>931</v>
      </c>
      <c r="C38">
        <f t="shared" si="0"/>
        <v>0</v>
      </c>
    </row>
    <row r="39" spans="1:3" x14ac:dyDescent="0.35">
      <c r="A39">
        <v>38</v>
      </c>
      <c r="B39">
        <v>931</v>
      </c>
      <c r="C39">
        <f t="shared" si="0"/>
        <v>0</v>
      </c>
    </row>
    <row r="40" spans="1:3" x14ac:dyDescent="0.35">
      <c r="A40">
        <v>39</v>
      </c>
      <c r="B40">
        <v>932</v>
      </c>
      <c r="C40">
        <f t="shared" si="0"/>
        <v>5.7471264367816091E-4</v>
      </c>
    </row>
    <row r="41" spans="1:3" x14ac:dyDescent="0.35">
      <c r="A41">
        <v>40</v>
      </c>
      <c r="B41">
        <v>933</v>
      </c>
      <c r="C41">
        <f t="shared" si="0"/>
        <v>1.1494252873563218E-3</v>
      </c>
    </row>
    <row r="42" spans="1:3" x14ac:dyDescent="0.35">
      <c r="A42">
        <v>41</v>
      </c>
      <c r="B42">
        <v>954</v>
      </c>
      <c r="C42">
        <f t="shared" si="0"/>
        <v>1.3218390804597701E-2</v>
      </c>
    </row>
    <row r="43" spans="1:3" x14ac:dyDescent="0.35">
      <c r="A43">
        <v>42</v>
      </c>
      <c r="B43">
        <v>986</v>
      </c>
      <c r="C43">
        <f t="shared" si="0"/>
        <v>3.1609195402298854E-2</v>
      </c>
    </row>
    <row r="44" spans="1:3" x14ac:dyDescent="0.35">
      <c r="A44">
        <v>43</v>
      </c>
      <c r="B44">
        <v>1046</v>
      </c>
      <c r="C44">
        <f t="shared" si="0"/>
        <v>6.6091954022988508E-2</v>
      </c>
    </row>
    <row r="45" spans="1:3" x14ac:dyDescent="0.35">
      <c r="A45">
        <v>44</v>
      </c>
      <c r="B45">
        <v>1046</v>
      </c>
      <c r="C45">
        <f t="shared" si="0"/>
        <v>6.6091954022988508E-2</v>
      </c>
    </row>
    <row r="46" spans="1:3" x14ac:dyDescent="0.35">
      <c r="A46">
        <v>45</v>
      </c>
      <c r="B46">
        <v>1382</v>
      </c>
      <c r="C46">
        <f t="shared" si="0"/>
        <v>0.25919540229885057</v>
      </c>
    </row>
    <row r="47" spans="1:3" x14ac:dyDescent="0.35">
      <c r="A47">
        <v>46</v>
      </c>
      <c r="B47">
        <v>1505</v>
      </c>
      <c r="C47">
        <f t="shared" si="0"/>
        <v>0.32988505747126434</v>
      </c>
    </row>
    <row r="48" spans="1:3" x14ac:dyDescent="0.35">
      <c r="A48">
        <v>47</v>
      </c>
      <c r="B48">
        <v>1505</v>
      </c>
      <c r="C48">
        <f t="shared" si="0"/>
        <v>0.32988505747126434</v>
      </c>
    </row>
    <row r="49" spans="1:3" x14ac:dyDescent="0.35">
      <c r="A49">
        <v>48</v>
      </c>
      <c r="B49">
        <v>2010</v>
      </c>
      <c r="C49">
        <f t="shared" si="0"/>
        <v>0.62011494252873567</v>
      </c>
    </row>
    <row r="50" spans="1:3" x14ac:dyDescent="0.35">
      <c r="A50">
        <v>49</v>
      </c>
      <c r="B50">
        <v>2160</v>
      </c>
      <c r="C50">
        <f t="shared" si="0"/>
        <v>0.70632183908045976</v>
      </c>
    </row>
    <row r="51" spans="1:3" x14ac:dyDescent="0.35">
      <c r="A51">
        <v>50</v>
      </c>
      <c r="B51">
        <v>2130</v>
      </c>
      <c r="C51">
        <f t="shared" si="0"/>
        <v>0.68908045977011489</v>
      </c>
    </row>
    <row r="52" spans="1:3" x14ac:dyDescent="0.35">
      <c r="A52">
        <v>51</v>
      </c>
      <c r="B52">
        <v>2070</v>
      </c>
      <c r="C52">
        <f t="shared" si="0"/>
        <v>0.65459770114942528</v>
      </c>
    </row>
    <row r="53" spans="1:3" x14ac:dyDescent="0.35">
      <c r="A53">
        <v>52</v>
      </c>
      <c r="B53">
        <v>2040</v>
      </c>
      <c r="C53">
        <f t="shared" si="0"/>
        <v>0.63735632183908042</v>
      </c>
    </row>
    <row r="54" spans="1:3" x14ac:dyDescent="0.35">
      <c r="A54">
        <v>53</v>
      </c>
      <c r="B54">
        <v>1996</v>
      </c>
      <c r="C54">
        <f t="shared" si="0"/>
        <v>0.61206896551724133</v>
      </c>
    </row>
    <row r="55" spans="1:3" x14ac:dyDescent="0.35">
      <c r="A55">
        <v>54</v>
      </c>
      <c r="B55">
        <v>1952</v>
      </c>
      <c r="C55">
        <f t="shared" si="0"/>
        <v>0.58678160919540234</v>
      </c>
    </row>
    <row r="56" spans="1:3" x14ac:dyDescent="0.35">
      <c r="A56">
        <v>55</v>
      </c>
      <c r="B56">
        <v>1886</v>
      </c>
      <c r="C56">
        <f t="shared" si="0"/>
        <v>0.54885057471264365</v>
      </c>
    </row>
    <row r="57" spans="1:3" x14ac:dyDescent="0.35">
      <c r="A57">
        <v>56</v>
      </c>
      <c r="B57">
        <v>1795</v>
      </c>
      <c r="C57">
        <f t="shared" si="0"/>
        <v>0.49655172413793103</v>
      </c>
    </row>
    <row r="58" spans="1:3" x14ac:dyDescent="0.35">
      <c r="A58">
        <v>57</v>
      </c>
      <c r="B58">
        <v>1728</v>
      </c>
      <c r="C58">
        <f t="shared" si="0"/>
        <v>0.45804597701149424</v>
      </c>
    </row>
    <row r="59" spans="1:3" x14ac:dyDescent="0.35">
      <c r="A59">
        <v>58</v>
      </c>
      <c r="B59">
        <v>1635</v>
      </c>
      <c r="C59">
        <f t="shared" si="0"/>
        <v>0.40459770114942528</v>
      </c>
    </row>
    <row r="60" spans="1:3" x14ac:dyDescent="0.35">
      <c r="A60">
        <v>59</v>
      </c>
      <c r="B60">
        <v>1574</v>
      </c>
      <c r="C60">
        <f t="shared" si="0"/>
        <v>0.36954022988505747</v>
      </c>
    </row>
    <row r="61" spans="1:3" x14ac:dyDescent="0.35">
      <c r="A61">
        <v>60</v>
      </c>
      <c r="B61">
        <v>1530</v>
      </c>
      <c r="C61">
        <f t="shared" si="0"/>
        <v>0.34425287356321838</v>
      </c>
    </row>
    <row r="62" spans="1:3" x14ac:dyDescent="0.35">
      <c r="A62">
        <v>61</v>
      </c>
      <c r="B62">
        <v>1488</v>
      </c>
      <c r="C62">
        <f t="shared" si="0"/>
        <v>0.32011494252873562</v>
      </c>
    </row>
    <row r="63" spans="1:3" x14ac:dyDescent="0.35">
      <c r="A63">
        <v>62</v>
      </c>
      <c r="B63">
        <v>1428</v>
      </c>
      <c r="C63">
        <f t="shared" si="0"/>
        <v>0.28563218390804596</v>
      </c>
    </row>
    <row r="64" spans="1:3" x14ac:dyDescent="0.35">
      <c r="A64">
        <v>63</v>
      </c>
      <c r="B64">
        <v>1404</v>
      </c>
      <c r="C64">
        <f t="shared" si="0"/>
        <v>0.27183908045977012</v>
      </c>
    </row>
    <row r="65" spans="1:3" x14ac:dyDescent="0.35">
      <c r="A65">
        <v>64</v>
      </c>
      <c r="B65">
        <v>1363</v>
      </c>
      <c r="C65">
        <f t="shared" si="0"/>
        <v>0.24827586206896551</v>
      </c>
    </row>
    <row r="66" spans="1:3" x14ac:dyDescent="0.35">
      <c r="A66">
        <v>65</v>
      </c>
      <c r="B66">
        <v>1256</v>
      </c>
      <c r="C66">
        <f t="shared" si="0"/>
        <v>0.18678160919540229</v>
      </c>
    </row>
    <row r="67" spans="1:3" x14ac:dyDescent="0.35">
      <c r="A67">
        <v>66</v>
      </c>
      <c r="B67">
        <v>1262</v>
      </c>
      <c r="C67">
        <f t="shared" ref="C67:C130" si="1">IF((B67-931)/1740&lt;0,0,(B67-931)/1740)</f>
        <v>0.19022988505747127</v>
      </c>
    </row>
    <row r="68" spans="1:3" x14ac:dyDescent="0.35">
      <c r="A68">
        <v>67</v>
      </c>
      <c r="B68">
        <v>1202</v>
      </c>
      <c r="C68">
        <f t="shared" si="1"/>
        <v>0.1557471264367816</v>
      </c>
    </row>
    <row r="69" spans="1:3" x14ac:dyDescent="0.35">
      <c r="A69">
        <v>68</v>
      </c>
      <c r="B69">
        <v>1158</v>
      </c>
      <c r="C69">
        <f t="shared" si="1"/>
        <v>0.13045977011494253</v>
      </c>
    </row>
    <row r="70" spans="1:3" x14ac:dyDescent="0.35">
      <c r="A70">
        <v>69</v>
      </c>
      <c r="B70">
        <v>1164</v>
      </c>
      <c r="C70">
        <f t="shared" si="1"/>
        <v>0.1339080459770115</v>
      </c>
    </row>
    <row r="71" spans="1:3" x14ac:dyDescent="0.35">
      <c r="A71">
        <v>70</v>
      </c>
      <c r="B71">
        <v>1130</v>
      </c>
      <c r="C71">
        <f t="shared" si="1"/>
        <v>0.11436781609195402</v>
      </c>
    </row>
    <row r="72" spans="1:3" x14ac:dyDescent="0.35">
      <c r="A72">
        <v>71</v>
      </c>
      <c r="B72">
        <v>1077</v>
      </c>
      <c r="C72">
        <f t="shared" si="1"/>
        <v>8.39080459770115E-2</v>
      </c>
    </row>
    <row r="73" spans="1:3" x14ac:dyDescent="0.35">
      <c r="A73">
        <v>72</v>
      </c>
      <c r="B73">
        <v>1098</v>
      </c>
      <c r="C73">
        <f t="shared" si="1"/>
        <v>9.5977011494252876E-2</v>
      </c>
    </row>
    <row r="74" spans="1:3" x14ac:dyDescent="0.35">
      <c r="A74">
        <v>73</v>
      </c>
      <c r="B74">
        <v>1063</v>
      </c>
      <c r="C74">
        <f t="shared" si="1"/>
        <v>7.586206896551724E-2</v>
      </c>
    </row>
    <row r="75" spans="1:3" x14ac:dyDescent="0.35">
      <c r="A75">
        <v>74</v>
      </c>
      <c r="B75">
        <v>1049</v>
      </c>
      <c r="C75">
        <f t="shared" si="1"/>
        <v>6.7816091954022995E-2</v>
      </c>
    </row>
    <row r="76" spans="1:3" x14ac:dyDescent="0.35">
      <c r="A76">
        <v>75</v>
      </c>
      <c r="B76">
        <v>1033</v>
      </c>
      <c r="C76">
        <f t="shared" si="1"/>
        <v>5.8620689655172413E-2</v>
      </c>
    </row>
    <row r="77" spans="1:3" x14ac:dyDescent="0.35">
      <c r="A77">
        <v>76</v>
      </c>
      <c r="B77">
        <v>1040</v>
      </c>
      <c r="C77">
        <f t="shared" si="1"/>
        <v>6.2643678160919536E-2</v>
      </c>
    </row>
    <row r="78" spans="1:3" x14ac:dyDescent="0.35">
      <c r="A78">
        <v>77</v>
      </c>
      <c r="B78">
        <v>1034</v>
      </c>
      <c r="C78">
        <f t="shared" si="1"/>
        <v>5.9195402298850577E-2</v>
      </c>
    </row>
    <row r="79" spans="1:3" x14ac:dyDescent="0.35">
      <c r="A79">
        <v>78</v>
      </c>
      <c r="B79">
        <v>1014</v>
      </c>
      <c r="C79">
        <f t="shared" si="1"/>
        <v>4.7701149425287359E-2</v>
      </c>
    </row>
    <row r="80" spans="1:3" x14ac:dyDescent="0.35">
      <c r="A80">
        <v>79</v>
      </c>
      <c r="B80">
        <v>1036</v>
      </c>
      <c r="C80">
        <f t="shared" si="1"/>
        <v>6.0344827586206899E-2</v>
      </c>
    </row>
    <row r="81" spans="1:3" x14ac:dyDescent="0.35">
      <c r="A81">
        <v>80</v>
      </c>
      <c r="B81">
        <v>1011</v>
      </c>
      <c r="C81">
        <f t="shared" si="1"/>
        <v>4.5977011494252873E-2</v>
      </c>
    </row>
    <row r="82" spans="1:3" x14ac:dyDescent="0.35">
      <c r="A82">
        <v>81</v>
      </c>
      <c r="B82">
        <v>1033</v>
      </c>
      <c r="C82">
        <f t="shared" si="1"/>
        <v>5.8620689655172413E-2</v>
      </c>
    </row>
    <row r="83" spans="1:3" x14ac:dyDescent="0.35">
      <c r="A83">
        <v>82</v>
      </c>
      <c r="B83">
        <v>994</v>
      </c>
      <c r="C83">
        <f t="shared" si="1"/>
        <v>3.6206896551724141E-2</v>
      </c>
    </row>
    <row r="84" spans="1:3" x14ac:dyDescent="0.35">
      <c r="A84">
        <v>83</v>
      </c>
      <c r="B84">
        <v>1006</v>
      </c>
      <c r="C84">
        <f t="shared" si="1"/>
        <v>4.3103448275862072E-2</v>
      </c>
    </row>
    <row r="85" spans="1:3" x14ac:dyDescent="0.35">
      <c r="A85">
        <v>84</v>
      </c>
      <c r="B85">
        <v>979</v>
      </c>
      <c r="C85">
        <f t="shared" si="1"/>
        <v>2.7586206896551724E-2</v>
      </c>
    </row>
    <row r="86" spans="1:3" x14ac:dyDescent="0.35">
      <c r="A86">
        <v>85</v>
      </c>
      <c r="B86">
        <v>976</v>
      </c>
      <c r="C86">
        <f t="shared" si="1"/>
        <v>2.5862068965517241E-2</v>
      </c>
    </row>
    <row r="87" spans="1:3" x14ac:dyDescent="0.35">
      <c r="A87">
        <v>86</v>
      </c>
      <c r="B87">
        <v>976</v>
      </c>
      <c r="C87">
        <f t="shared" si="1"/>
        <v>2.5862068965517241E-2</v>
      </c>
    </row>
    <row r="88" spans="1:3" x14ac:dyDescent="0.35">
      <c r="A88">
        <v>87</v>
      </c>
      <c r="B88">
        <v>976</v>
      </c>
      <c r="C88">
        <f t="shared" si="1"/>
        <v>2.5862068965517241E-2</v>
      </c>
    </row>
    <row r="89" spans="1:3" x14ac:dyDescent="0.35">
      <c r="A89">
        <v>88</v>
      </c>
      <c r="B89">
        <v>976</v>
      </c>
      <c r="C89">
        <f t="shared" si="1"/>
        <v>2.5862068965517241E-2</v>
      </c>
    </row>
    <row r="90" spans="1:3" x14ac:dyDescent="0.35">
      <c r="A90">
        <v>89</v>
      </c>
      <c r="B90">
        <v>970</v>
      </c>
      <c r="C90">
        <f t="shared" si="1"/>
        <v>2.2413793103448276E-2</v>
      </c>
    </row>
    <row r="91" spans="1:3" x14ac:dyDescent="0.35">
      <c r="A91">
        <v>90</v>
      </c>
      <c r="B91">
        <v>963</v>
      </c>
      <c r="C91">
        <f t="shared" si="1"/>
        <v>1.8390804597701149E-2</v>
      </c>
    </row>
    <row r="92" spans="1:3" x14ac:dyDescent="0.35">
      <c r="A92">
        <v>91</v>
      </c>
      <c r="B92">
        <v>961</v>
      </c>
      <c r="C92">
        <f t="shared" si="1"/>
        <v>1.7241379310344827E-2</v>
      </c>
    </row>
    <row r="93" spans="1:3" x14ac:dyDescent="0.35">
      <c r="A93">
        <v>92</v>
      </c>
      <c r="B93">
        <v>960</v>
      </c>
      <c r="C93">
        <f t="shared" si="1"/>
        <v>1.6666666666666666E-2</v>
      </c>
    </row>
    <row r="94" spans="1:3" x14ac:dyDescent="0.35">
      <c r="A94">
        <v>93</v>
      </c>
      <c r="B94">
        <v>960</v>
      </c>
      <c r="C94">
        <f t="shared" si="1"/>
        <v>1.6666666666666666E-2</v>
      </c>
    </row>
    <row r="95" spans="1:3" x14ac:dyDescent="0.35">
      <c r="A95">
        <v>94</v>
      </c>
      <c r="B95">
        <v>957</v>
      </c>
      <c r="C95">
        <f t="shared" si="1"/>
        <v>1.4942528735632184E-2</v>
      </c>
    </row>
    <row r="96" spans="1:3" x14ac:dyDescent="0.35">
      <c r="A96">
        <v>95</v>
      </c>
      <c r="B96">
        <v>955</v>
      </c>
      <c r="C96">
        <f t="shared" si="1"/>
        <v>1.3793103448275862E-2</v>
      </c>
    </row>
    <row r="97" spans="1:3" x14ac:dyDescent="0.35">
      <c r="A97">
        <v>96</v>
      </c>
      <c r="B97">
        <v>954</v>
      </c>
      <c r="C97">
        <f t="shared" si="1"/>
        <v>1.3218390804597701E-2</v>
      </c>
    </row>
    <row r="98" spans="1:3" x14ac:dyDescent="0.35">
      <c r="A98">
        <v>97</v>
      </c>
      <c r="B98">
        <v>954</v>
      </c>
      <c r="C98">
        <f t="shared" si="1"/>
        <v>1.3218390804597701E-2</v>
      </c>
    </row>
    <row r="99" spans="1:3" x14ac:dyDescent="0.35">
      <c r="A99">
        <v>98</v>
      </c>
      <c r="B99">
        <v>954</v>
      </c>
      <c r="C99">
        <f t="shared" si="1"/>
        <v>1.3218390804597701E-2</v>
      </c>
    </row>
    <row r="100" spans="1:3" x14ac:dyDescent="0.35">
      <c r="A100">
        <v>99</v>
      </c>
      <c r="B100">
        <v>953</v>
      </c>
      <c r="C100">
        <f t="shared" si="1"/>
        <v>1.264367816091954E-2</v>
      </c>
    </row>
    <row r="101" spans="1:3" x14ac:dyDescent="0.35">
      <c r="A101">
        <v>100</v>
      </c>
      <c r="B101">
        <v>951</v>
      </c>
      <c r="C101">
        <f t="shared" si="1"/>
        <v>1.1494252873563218E-2</v>
      </c>
    </row>
    <row r="102" spans="1:3" x14ac:dyDescent="0.35">
      <c r="A102">
        <v>101</v>
      </c>
      <c r="B102">
        <v>952</v>
      </c>
      <c r="C102">
        <f t="shared" si="1"/>
        <v>1.2068965517241379E-2</v>
      </c>
    </row>
    <row r="103" spans="1:3" x14ac:dyDescent="0.35">
      <c r="A103">
        <v>102</v>
      </c>
      <c r="B103">
        <v>951</v>
      </c>
      <c r="C103">
        <f t="shared" si="1"/>
        <v>1.1494252873563218E-2</v>
      </c>
    </row>
    <row r="104" spans="1:3" x14ac:dyDescent="0.35">
      <c r="A104">
        <v>103</v>
      </c>
      <c r="B104">
        <v>951</v>
      </c>
      <c r="C104">
        <f t="shared" si="1"/>
        <v>1.1494252873563218E-2</v>
      </c>
    </row>
    <row r="105" spans="1:3" x14ac:dyDescent="0.35">
      <c r="A105">
        <v>104</v>
      </c>
      <c r="B105">
        <v>951</v>
      </c>
      <c r="C105">
        <f t="shared" si="1"/>
        <v>1.1494252873563218E-2</v>
      </c>
    </row>
    <row r="106" spans="1:3" x14ac:dyDescent="0.35">
      <c r="A106">
        <v>105</v>
      </c>
      <c r="B106">
        <v>950</v>
      </c>
      <c r="C106">
        <f t="shared" si="1"/>
        <v>1.0919540229885057E-2</v>
      </c>
    </row>
    <row r="107" spans="1:3" x14ac:dyDescent="0.35">
      <c r="A107">
        <v>106</v>
      </c>
      <c r="B107">
        <v>949</v>
      </c>
      <c r="C107">
        <f t="shared" si="1"/>
        <v>1.0344827586206896E-2</v>
      </c>
    </row>
    <row r="108" spans="1:3" x14ac:dyDescent="0.35">
      <c r="A108">
        <v>107</v>
      </c>
      <c r="B108">
        <v>949</v>
      </c>
      <c r="C108">
        <f t="shared" si="1"/>
        <v>1.0344827586206896E-2</v>
      </c>
    </row>
    <row r="109" spans="1:3" x14ac:dyDescent="0.35">
      <c r="A109">
        <v>108</v>
      </c>
      <c r="B109">
        <v>948</v>
      </c>
      <c r="C109">
        <f t="shared" si="1"/>
        <v>9.7701149425287355E-3</v>
      </c>
    </row>
    <row r="110" spans="1:3" x14ac:dyDescent="0.35">
      <c r="A110">
        <v>109</v>
      </c>
      <c r="B110">
        <v>947</v>
      </c>
      <c r="C110">
        <f t="shared" si="1"/>
        <v>9.1954022988505746E-3</v>
      </c>
    </row>
    <row r="111" spans="1:3" x14ac:dyDescent="0.35">
      <c r="A111">
        <v>110</v>
      </c>
      <c r="B111">
        <v>946</v>
      </c>
      <c r="C111">
        <f t="shared" si="1"/>
        <v>8.6206896551724137E-3</v>
      </c>
    </row>
    <row r="112" spans="1:3" x14ac:dyDescent="0.35">
      <c r="A112">
        <v>111</v>
      </c>
      <c r="B112">
        <v>945</v>
      </c>
      <c r="C112">
        <f t="shared" si="1"/>
        <v>8.0459770114942528E-3</v>
      </c>
    </row>
    <row r="113" spans="1:3" x14ac:dyDescent="0.35">
      <c r="A113">
        <v>112</v>
      </c>
      <c r="B113">
        <v>945</v>
      </c>
      <c r="C113">
        <f t="shared" si="1"/>
        <v>8.0459770114942528E-3</v>
      </c>
    </row>
    <row r="114" spans="1:3" x14ac:dyDescent="0.35">
      <c r="A114">
        <v>113</v>
      </c>
      <c r="B114">
        <v>945</v>
      </c>
      <c r="C114">
        <f t="shared" si="1"/>
        <v>8.0459770114942528E-3</v>
      </c>
    </row>
    <row r="115" spans="1:3" x14ac:dyDescent="0.35">
      <c r="A115">
        <v>114</v>
      </c>
      <c r="B115">
        <v>944</v>
      </c>
      <c r="C115">
        <f t="shared" si="1"/>
        <v>7.4712643678160919E-3</v>
      </c>
    </row>
    <row r="116" spans="1:3" x14ac:dyDescent="0.35">
      <c r="A116">
        <v>115</v>
      </c>
      <c r="B116">
        <v>944</v>
      </c>
      <c r="C116">
        <f t="shared" si="1"/>
        <v>7.4712643678160919E-3</v>
      </c>
    </row>
    <row r="117" spans="1:3" x14ac:dyDescent="0.35">
      <c r="A117">
        <v>116</v>
      </c>
      <c r="B117">
        <v>944</v>
      </c>
      <c r="C117">
        <f t="shared" si="1"/>
        <v>7.4712643678160919E-3</v>
      </c>
    </row>
    <row r="118" spans="1:3" x14ac:dyDescent="0.35">
      <c r="A118">
        <v>117</v>
      </c>
      <c r="B118">
        <v>944</v>
      </c>
      <c r="C118">
        <f t="shared" si="1"/>
        <v>7.4712643678160919E-3</v>
      </c>
    </row>
    <row r="119" spans="1:3" x14ac:dyDescent="0.35">
      <c r="A119">
        <v>118</v>
      </c>
      <c r="B119">
        <v>943</v>
      </c>
      <c r="C119">
        <f t="shared" si="1"/>
        <v>6.8965517241379309E-3</v>
      </c>
    </row>
    <row r="120" spans="1:3" x14ac:dyDescent="0.35">
      <c r="A120">
        <v>119</v>
      </c>
      <c r="B120">
        <v>943</v>
      </c>
      <c r="C120">
        <f t="shared" si="1"/>
        <v>6.8965517241379309E-3</v>
      </c>
    </row>
    <row r="121" spans="1:3" x14ac:dyDescent="0.35">
      <c r="A121">
        <v>120</v>
      </c>
      <c r="B121">
        <v>943</v>
      </c>
      <c r="C121">
        <f t="shared" si="1"/>
        <v>6.8965517241379309E-3</v>
      </c>
    </row>
    <row r="122" spans="1:3" x14ac:dyDescent="0.35">
      <c r="A122">
        <v>121</v>
      </c>
      <c r="B122">
        <v>943</v>
      </c>
      <c r="C122">
        <f t="shared" si="1"/>
        <v>6.8965517241379309E-3</v>
      </c>
    </row>
    <row r="123" spans="1:3" x14ac:dyDescent="0.35">
      <c r="A123">
        <v>122</v>
      </c>
      <c r="B123">
        <v>942</v>
      </c>
      <c r="C123">
        <f t="shared" si="1"/>
        <v>6.32183908045977E-3</v>
      </c>
    </row>
    <row r="124" spans="1:3" x14ac:dyDescent="0.35">
      <c r="A124">
        <v>123</v>
      </c>
      <c r="B124">
        <v>942</v>
      </c>
      <c r="C124">
        <f t="shared" si="1"/>
        <v>6.32183908045977E-3</v>
      </c>
    </row>
    <row r="125" spans="1:3" x14ac:dyDescent="0.35">
      <c r="A125">
        <v>124</v>
      </c>
      <c r="B125">
        <v>942</v>
      </c>
      <c r="C125">
        <f t="shared" si="1"/>
        <v>6.32183908045977E-3</v>
      </c>
    </row>
    <row r="126" spans="1:3" x14ac:dyDescent="0.35">
      <c r="A126">
        <v>125</v>
      </c>
      <c r="B126">
        <v>941</v>
      </c>
      <c r="C126">
        <f t="shared" si="1"/>
        <v>5.7471264367816091E-3</v>
      </c>
    </row>
    <row r="127" spans="1:3" x14ac:dyDescent="0.35">
      <c r="A127">
        <v>126</v>
      </c>
      <c r="B127">
        <v>941</v>
      </c>
      <c r="C127">
        <f t="shared" si="1"/>
        <v>5.7471264367816091E-3</v>
      </c>
    </row>
    <row r="128" spans="1:3" x14ac:dyDescent="0.35">
      <c r="A128">
        <v>127</v>
      </c>
      <c r="B128">
        <v>941</v>
      </c>
      <c r="C128">
        <f t="shared" si="1"/>
        <v>5.7471264367816091E-3</v>
      </c>
    </row>
    <row r="129" spans="1:3" x14ac:dyDescent="0.35">
      <c r="A129">
        <v>128</v>
      </c>
      <c r="B129">
        <v>941</v>
      </c>
      <c r="C129">
        <f t="shared" si="1"/>
        <v>5.7471264367816091E-3</v>
      </c>
    </row>
    <row r="130" spans="1:3" x14ac:dyDescent="0.35">
      <c r="A130">
        <v>129</v>
      </c>
      <c r="B130">
        <v>941</v>
      </c>
      <c r="C130">
        <f t="shared" si="1"/>
        <v>5.7471264367816091E-3</v>
      </c>
    </row>
    <row r="131" spans="1:3" x14ac:dyDescent="0.35">
      <c r="A131">
        <v>130</v>
      </c>
      <c r="B131">
        <v>940</v>
      </c>
      <c r="C131">
        <f t="shared" ref="C131:C194" si="2">IF((B131-931)/1740&lt;0,0,(B131-931)/1740)</f>
        <v>5.1724137931034482E-3</v>
      </c>
    </row>
    <row r="132" spans="1:3" x14ac:dyDescent="0.35">
      <c r="A132">
        <v>131</v>
      </c>
      <c r="B132">
        <v>940</v>
      </c>
      <c r="C132">
        <f t="shared" si="2"/>
        <v>5.1724137931034482E-3</v>
      </c>
    </row>
    <row r="133" spans="1:3" x14ac:dyDescent="0.35">
      <c r="A133">
        <v>132</v>
      </c>
      <c r="B133">
        <v>940</v>
      </c>
      <c r="C133">
        <f t="shared" si="2"/>
        <v>5.1724137931034482E-3</v>
      </c>
    </row>
    <row r="134" spans="1:3" x14ac:dyDescent="0.35">
      <c r="A134">
        <v>133</v>
      </c>
      <c r="B134">
        <v>940</v>
      </c>
      <c r="C134">
        <f t="shared" si="2"/>
        <v>5.1724137931034482E-3</v>
      </c>
    </row>
    <row r="135" spans="1:3" x14ac:dyDescent="0.35">
      <c r="A135">
        <v>134</v>
      </c>
      <c r="B135">
        <v>940</v>
      </c>
      <c r="C135">
        <f t="shared" si="2"/>
        <v>5.1724137931034482E-3</v>
      </c>
    </row>
    <row r="136" spans="1:3" x14ac:dyDescent="0.35">
      <c r="A136">
        <v>135</v>
      </c>
      <c r="B136">
        <v>940</v>
      </c>
      <c r="C136">
        <f t="shared" si="2"/>
        <v>5.1724137931034482E-3</v>
      </c>
    </row>
    <row r="137" spans="1:3" x14ac:dyDescent="0.35">
      <c r="A137">
        <v>136</v>
      </c>
      <c r="B137">
        <v>940</v>
      </c>
      <c r="C137">
        <f t="shared" si="2"/>
        <v>5.1724137931034482E-3</v>
      </c>
    </row>
    <row r="138" spans="1:3" x14ac:dyDescent="0.35">
      <c r="A138">
        <v>137</v>
      </c>
      <c r="B138">
        <v>939</v>
      </c>
      <c r="C138">
        <f t="shared" si="2"/>
        <v>4.5977011494252873E-3</v>
      </c>
    </row>
    <row r="139" spans="1:3" x14ac:dyDescent="0.35">
      <c r="A139">
        <v>138</v>
      </c>
      <c r="B139">
        <v>939</v>
      </c>
      <c r="C139">
        <f t="shared" si="2"/>
        <v>4.5977011494252873E-3</v>
      </c>
    </row>
    <row r="140" spans="1:3" x14ac:dyDescent="0.35">
      <c r="A140">
        <v>139</v>
      </c>
      <c r="B140">
        <v>939</v>
      </c>
      <c r="C140">
        <f t="shared" si="2"/>
        <v>4.5977011494252873E-3</v>
      </c>
    </row>
    <row r="141" spans="1:3" x14ac:dyDescent="0.35">
      <c r="A141">
        <v>140</v>
      </c>
      <c r="B141">
        <v>939</v>
      </c>
      <c r="C141">
        <f t="shared" si="2"/>
        <v>4.5977011494252873E-3</v>
      </c>
    </row>
    <row r="142" spans="1:3" x14ac:dyDescent="0.35">
      <c r="A142">
        <v>141</v>
      </c>
      <c r="B142">
        <v>939</v>
      </c>
      <c r="C142">
        <f t="shared" si="2"/>
        <v>4.5977011494252873E-3</v>
      </c>
    </row>
    <row r="143" spans="1:3" x14ac:dyDescent="0.35">
      <c r="A143">
        <v>142</v>
      </c>
      <c r="B143">
        <v>939</v>
      </c>
      <c r="C143">
        <f t="shared" si="2"/>
        <v>4.5977011494252873E-3</v>
      </c>
    </row>
    <row r="144" spans="1:3" x14ac:dyDescent="0.35">
      <c r="A144">
        <v>143</v>
      </c>
      <c r="B144">
        <v>938</v>
      </c>
      <c r="C144">
        <f t="shared" si="2"/>
        <v>4.0229885057471264E-3</v>
      </c>
    </row>
    <row r="145" spans="1:3" x14ac:dyDescent="0.35">
      <c r="A145">
        <v>144</v>
      </c>
      <c r="B145">
        <v>938</v>
      </c>
      <c r="C145">
        <f t="shared" si="2"/>
        <v>4.0229885057471264E-3</v>
      </c>
    </row>
    <row r="146" spans="1:3" x14ac:dyDescent="0.35">
      <c r="A146">
        <v>145</v>
      </c>
      <c r="B146">
        <v>938</v>
      </c>
      <c r="C146">
        <f t="shared" si="2"/>
        <v>4.0229885057471264E-3</v>
      </c>
    </row>
    <row r="147" spans="1:3" x14ac:dyDescent="0.35">
      <c r="A147">
        <v>146</v>
      </c>
      <c r="B147">
        <v>938</v>
      </c>
      <c r="C147">
        <f t="shared" si="2"/>
        <v>4.0229885057471264E-3</v>
      </c>
    </row>
    <row r="148" spans="1:3" x14ac:dyDescent="0.35">
      <c r="A148">
        <v>147</v>
      </c>
      <c r="B148">
        <v>938</v>
      </c>
      <c r="C148">
        <f t="shared" si="2"/>
        <v>4.0229885057471264E-3</v>
      </c>
    </row>
    <row r="149" spans="1:3" x14ac:dyDescent="0.35">
      <c r="A149">
        <v>148</v>
      </c>
      <c r="B149">
        <v>938</v>
      </c>
      <c r="C149">
        <f t="shared" si="2"/>
        <v>4.0229885057471264E-3</v>
      </c>
    </row>
    <row r="150" spans="1:3" x14ac:dyDescent="0.35">
      <c r="A150">
        <v>149</v>
      </c>
      <c r="B150">
        <v>938</v>
      </c>
      <c r="C150">
        <f t="shared" si="2"/>
        <v>4.0229885057471264E-3</v>
      </c>
    </row>
    <row r="151" spans="1:3" x14ac:dyDescent="0.35">
      <c r="A151">
        <v>150</v>
      </c>
      <c r="B151">
        <v>938</v>
      </c>
      <c r="C151">
        <f t="shared" si="2"/>
        <v>4.0229885057471264E-3</v>
      </c>
    </row>
    <row r="152" spans="1:3" x14ac:dyDescent="0.35">
      <c r="A152">
        <v>151</v>
      </c>
      <c r="B152">
        <v>938</v>
      </c>
      <c r="C152">
        <f t="shared" si="2"/>
        <v>4.0229885057471264E-3</v>
      </c>
    </row>
    <row r="153" spans="1:3" x14ac:dyDescent="0.35">
      <c r="A153">
        <v>152</v>
      </c>
      <c r="B153">
        <v>938</v>
      </c>
      <c r="C153">
        <f t="shared" si="2"/>
        <v>4.0229885057471264E-3</v>
      </c>
    </row>
    <row r="154" spans="1:3" x14ac:dyDescent="0.35">
      <c r="A154">
        <v>153</v>
      </c>
      <c r="B154">
        <v>938</v>
      </c>
      <c r="C154">
        <f t="shared" si="2"/>
        <v>4.0229885057471264E-3</v>
      </c>
    </row>
    <row r="155" spans="1:3" x14ac:dyDescent="0.35">
      <c r="A155">
        <v>154</v>
      </c>
      <c r="B155">
        <v>937</v>
      </c>
      <c r="C155">
        <f t="shared" si="2"/>
        <v>3.4482758620689655E-3</v>
      </c>
    </row>
    <row r="156" spans="1:3" x14ac:dyDescent="0.35">
      <c r="A156">
        <v>155</v>
      </c>
      <c r="B156">
        <v>937</v>
      </c>
      <c r="C156">
        <f t="shared" si="2"/>
        <v>3.4482758620689655E-3</v>
      </c>
    </row>
    <row r="157" spans="1:3" x14ac:dyDescent="0.35">
      <c r="A157">
        <v>156</v>
      </c>
      <c r="B157">
        <v>937</v>
      </c>
      <c r="C157">
        <f t="shared" si="2"/>
        <v>3.4482758620689655E-3</v>
      </c>
    </row>
    <row r="158" spans="1:3" x14ac:dyDescent="0.35">
      <c r="A158">
        <v>157</v>
      </c>
      <c r="B158">
        <v>937</v>
      </c>
      <c r="C158">
        <f t="shared" si="2"/>
        <v>3.4482758620689655E-3</v>
      </c>
    </row>
    <row r="159" spans="1:3" x14ac:dyDescent="0.35">
      <c r="A159">
        <v>158</v>
      </c>
      <c r="B159">
        <v>937</v>
      </c>
      <c r="C159">
        <f t="shared" si="2"/>
        <v>3.4482758620689655E-3</v>
      </c>
    </row>
    <row r="160" spans="1:3" x14ac:dyDescent="0.35">
      <c r="A160">
        <v>159</v>
      </c>
      <c r="B160">
        <v>937</v>
      </c>
      <c r="C160">
        <f t="shared" si="2"/>
        <v>3.4482758620689655E-3</v>
      </c>
    </row>
    <row r="161" spans="1:3" x14ac:dyDescent="0.35">
      <c r="A161">
        <v>160</v>
      </c>
      <c r="B161">
        <v>937</v>
      </c>
      <c r="C161">
        <f t="shared" si="2"/>
        <v>3.4482758620689655E-3</v>
      </c>
    </row>
    <row r="162" spans="1:3" x14ac:dyDescent="0.35">
      <c r="A162">
        <v>161</v>
      </c>
      <c r="B162">
        <v>937</v>
      </c>
      <c r="C162">
        <f t="shared" si="2"/>
        <v>3.4482758620689655E-3</v>
      </c>
    </row>
    <row r="163" spans="1:3" x14ac:dyDescent="0.35">
      <c r="A163">
        <v>162</v>
      </c>
      <c r="B163">
        <v>936</v>
      </c>
      <c r="C163">
        <f t="shared" si="2"/>
        <v>2.8735632183908046E-3</v>
      </c>
    </row>
    <row r="164" spans="1:3" x14ac:dyDescent="0.35">
      <c r="A164">
        <v>163</v>
      </c>
      <c r="B164">
        <v>936</v>
      </c>
      <c r="C164">
        <f t="shared" si="2"/>
        <v>2.8735632183908046E-3</v>
      </c>
    </row>
    <row r="165" spans="1:3" x14ac:dyDescent="0.35">
      <c r="A165">
        <v>164</v>
      </c>
      <c r="B165">
        <v>936</v>
      </c>
      <c r="C165">
        <f t="shared" si="2"/>
        <v>2.8735632183908046E-3</v>
      </c>
    </row>
    <row r="166" spans="1:3" x14ac:dyDescent="0.35">
      <c r="A166">
        <v>165</v>
      </c>
      <c r="B166">
        <v>936</v>
      </c>
      <c r="C166">
        <f t="shared" si="2"/>
        <v>2.8735632183908046E-3</v>
      </c>
    </row>
    <row r="167" spans="1:3" x14ac:dyDescent="0.35">
      <c r="A167">
        <v>166</v>
      </c>
      <c r="B167">
        <v>936</v>
      </c>
      <c r="C167">
        <f t="shared" si="2"/>
        <v>2.8735632183908046E-3</v>
      </c>
    </row>
    <row r="168" spans="1:3" x14ac:dyDescent="0.35">
      <c r="A168">
        <v>167</v>
      </c>
      <c r="B168">
        <v>936</v>
      </c>
      <c r="C168">
        <f t="shared" si="2"/>
        <v>2.8735632183908046E-3</v>
      </c>
    </row>
    <row r="169" spans="1:3" x14ac:dyDescent="0.35">
      <c r="A169">
        <v>168</v>
      </c>
      <c r="B169">
        <v>936</v>
      </c>
      <c r="C169">
        <f t="shared" si="2"/>
        <v>2.8735632183908046E-3</v>
      </c>
    </row>
    <row r="170" spans="1:3" x14ac:dyDescent="0.35">
      <c r="A170">
        <v>169</v>
      </c>
      <c r="B170">
        <v>936</v>
      </c>
      <c r="C170">
        <f t="shared" si="2"/>
        <v>2.8735632183908046E-3</v>
      </c>
    </row>
    <row r="171" spans="1:3" x14ac:dyDescent="0.35">
      <c r="A171">
        <v>170</v>
      </c>
      <c r="B171">
        <v>936</v>
      </c>
      <c r="C171">
        <f t="shared" si="2"/>
        <v>2.8735632183908046E-3</v>
      </c>
    </row>
    <row r="172" spans="1:3" x14ac:dyDescent="0.35">
      <c r="A172">
        <v>171</v>
      </c>
      <c r="B172">
        <v>936</v>
      </c>
      <c r="C172">
        <f t="shared" si="2"/>
        <v>2.8735632183908046E-3</v>
      </c>
    </row>
    <row r="173" spans="1:3" x14ac:dyDescent="0.35">
      <c r="A173">
        <v>172</v>
      </c>
      <c r="B173">
        <v>936</v>
      </c>
      <c r="C173">
        <f t="shared" si="2"/>
        <v>2.8735632183908046E-3</v>
      </c>
    </row>
    <row r="174" spans="1:3" x14ac:dyDescent="0.35">
      <c r="A174">
        <v>173</v>
      </c>
      <c r="B174">
        <v>936</v>
      </c>
      <c r="C174">
        <f t="shared" si="2"/>
        <v>2.8735632183908046E-3</v>
      </c>
    </row>
    <row r="175" spans="1:3" x14ac:dyDescent="0.35">
      <c r="A175">
        <v>174</v>
      </c>
      <c r="B175">
        <v>936</v>
      </c>
      <c r="C175">
        <f t="shared" si="2"/>
        <v>2.8735632183908046E-3</v>
      </c>
    </row>
    <row r="176" spans="1:3" x14ac:dyDescent="0.35">
      <c r="A176">
        <v>175</v>
      </c>
      <c r="B176">
        <v>936</v>
      </c>
      <c r="C176">
        <f t="shared" si="2"/>
        <v>2.8735632183908046E-3</v>
      </c>
    </row>
    <row r="177" spans="1:3" x14ac:dyDescent="0.35">
      <c r="A177">
        <v>176</v>
      </c>
      <c r="B177">
        <v>936</v>
      </c>
      <c r="C177">
        <f t="shared" si="2"/>
        <v>2.8735632183908046E-3</v>
      </c>
    </row>
    <row r="178" spans="1:3" x14ac:dyDescent="0.35">
      <c r="A178">
        <v>177</v>
      </c>
      <c r="B178">
        <v>936</v>
      </c>
      <c r="C178">
        <f t="shared" si="2"/>
        <v>2.8735632183908046E-3</v>
      </c>
    </row>
    <row r="179" spans="1:3" x14ac:dyDescent="0.35">
      <c r="A179">
        <v>178</v>
      </c>
      <c r="B179">
        <v>936</v>
      </c>
      <c r="C179">
        <f t="shared" si="2"/>
        <v>2.8735632183908046E-3</v>
      </c>
    </row>
    <row r="180" spans="1:3" x14ac:dyDescent="0.35">
      <c r="A180">
        <v>179</v>
      </c>
      <c r="B180">
        <v>936</v>
      </c>
      <c r="C180">
        <f t="shared" si="2"/>
        <v>2.8735632183908046E-3</v>
      </c>
    </row>
    <row r="181" spans="1:3" x14ac:dyDescent="0.35">
      <c r="A181">
        <v>180</v>
      </c>
      <c r="B181">
        <v>936</v>
      </c>
      <c r="C181">
        <f t="shared" si="2"/>
        <v>2.8735632183908046E-3</v>
      </c>
    </row>
    <row r="182" spans="1:3" x14ac:dyDescent="0.35">
      <c r="A182">
        <v>181</v>
      </c>
      <c r="B182">
        <v>935</v>
      </c>
      <c r="C182">
        <f t="shared" si="2"/>
        <v>2.2988505747126436E-3</v>
      </c>
    </row>
    <row r="183" spans="1:3" x14ac:dyDescent="0.35">
      <c r="A183">
        <v>182</v>
      </c>
      <c r="C183">
        <f t="shared" si="2"/>
        <v>0</v>
      </c>
    </row>
    <row r="184" spans="1:3" x14ac:dyDescent="0.35">
      <c r="A184">
        <v>183</v>
      </c>
      <c r="C184">
        <f t="shared" si="2"/>
        <v>0</v>
      </c>
    </row>
    <row r="185" spans="1:3" x14ac:dyDescent="0.35">
      <c r="A185">
        <v>184</v>
      </c>
      <c r="C185">
        <f t="shared" si="2"/>
        <v>0</v>
      </c>
    </row>
    <row r="186" spans="1:3" x14ac:dyDescent="0.35">
      <c r="A186">
        <v>185</v>
      </c>
      <c r="C186">
        <f t="shared" si="2"/>
        <v>0</v>
      </c>
    </row>
    <row r="187" spans="1:3" x14ac:dyDescent="0.35">
      <c r="A187">
        <v>186</v>
      </c>
      <c r="C187">
        <f t="shared" si="2"/>
        <v>0</v>
      </c>
    </row>
    <row r="188" spans="1:3" x14ac:dyDescent="0.35">
      <c r="A188">
        <v>187</v>
      </c>
      <c r="C188">
        <f t="shared" si="2"/>
        <v>0</v>
      </c>
    </row>
    <row r="189" spans="1:3" x14ac:dyDescent="0.35">
      <c r="A189">
        <v>188</v>
      </c>
      <c r="C189">
        <f t="shared" si="2"/>
        <v>0</v>
      </c>
    </row>
    <row r="190" spans="1:3" x14ac:dyDescent="0.35">
      <c r="A190">
        <v>189</v>
      </c>
      <c r="C190">
        <f t="shared" si="2"/>
        <v>0</v>
      </c>
    </row>
    <row r="191" spans="1:3" x14ac:dyDescent="0.35">
      <c r="A191">
        <v>190</v>
      </c>
      <c r="C191">
        <f t="shared" si="2"/>
        <v>0</v>
      </c>
    </row>
    <row r="192" spans="1:3" x14ac:dyDescent="0.35">
      <c r="A192">
        <v>191</v>
      </c>
      <c r="C192">
        <f t="shared" si="2"/>
        <v>0</v>
      </c>
    </row>
    <row r="193" spans="1:3" x14ac:dyDescent="0.35">
      <c r="A193">
        <v>192</v>
      </c>
      <c r="C193">
        <f t="shared" si="2"/>
        <v>0</v>
      </c>
    </row>
    <row r="194" spans="1:3" x14ac:dyDescent="0.35">
      <c r="A194">
        <v>193</v>
      </c>
      <c r="C194">
        <f t="shared" si="2"/>
        <v>0</v>
      </c>
    </row>
    <row r="195" spans="1:3" x14ac:dyDescent="0.35">
      <c r="A195">
        <v>194</v>
      </c>
      <c r="C195">
        <f t="shared" ref="C195:C206" si="3">IF((B195-931)/1740&lt;0,0,(B195-931)/1740)</f>
        <v>0</v>
      </c>
    </row>
    <row r="196" spans="1:3" x14ac:dyDescent="0.35">
      <c r="A196">
        <v>195</v>
      </c>
      <c r="C196">
        <f t="shared" si="3"/>
        <v>0</v>
      </c>
    </row>
    <row r="197" spans="1:3" x14ac:dyDescent="0.35">
      <c r="A197">
        <v>196</v>
      </c>
      <c r="C197">
        <f t="shared" si="3"/>
        <v>0</v>
      </c>
    </row>
    <row r="198" spans="1:3" x14ac:dyDescent="0.35">
      <c r="A198">
        <v>197</v>
      </c>
      <c r="C198">
        <f t="shared" si="3"/>
        <v>0</v>
      </c>
    </row>
    <row r="199" spans="1:3" x14ac:dyDescent="0.35">
      <c r="A199">
        <v>198</v>
      </c>
      <c r="C199">
        <f t="shared" si="3"/>
        <v>0</v>
      </c>
    </row>
    <row r="200" spans="1:3" x14ac:dyDescent="0.35">
      <c r="A200">
        <v>199</v>
      </c>
      <c r="C200">
        <f t="shared" si="3"/>
        <v>0</v>
      </c>
    </row>
    <row r="201" spans="1:3" x14ac:dyDescent="0.35">
      <c r="A201">
        <v>200</v>
      </c>
      <c r="C201">
        <f t="shared" si="3"/>
        <v>0</v>
      </c>
    </row>
    <row r="202" spans="1:3" x14ac:dyDescent="0.35">
      <c r="A202">
        <v>201</v>
      </c>
      <c r="C202">
        <f t="shared" si="3"/>
        <v>0</v>
      </c>
    </row>
    <row r="203" spans="1:3" x14ac:dyDescent="0.35">
      <c r="A203">
        <v>202</v>
      </c>
      <c r="C203">
        <f t="shared" si="3"/>
        <v>0</v>
      </c>
    </row>
    <row r="204" spans="1:3" x14ac:dyDescent="0.35">
      <c r="A204">
        <v>203</v>
      </c>
      <c r="C204">
        <f t="shared" si="3"/>
        <v>0</v>
      </c>
    </row>
    <row r="205" spans="1:3" x14ac:dyDescent="0.35">
      <c r="A205">
        <v>204</v>
      </c>
      <c r="C205">
        <f t="shared" si="3"/>
        <v>0</v>
      </c>
    </row>
    <row r="206" spans="1:3" x14ac:dyDescent="0.35">
      <c r="A206">
        <v>205</v>
      </c>
      <c r="C206">
        <f t="shared" si="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1D3B-6D90-4B06-939A-B423C5074A19}">
  <dimension ref="A1:G178"/>
  <sheetViews>
    <sheetView topLeftCell="B1" workbookViewId="0">
      <selection activeCell="I28" sqref="I28"/>
    </sheetView>
  </sheetViews>
  <sheetFormatPr baseColWidth="10" defaultRowHeight="14.5" x14ac:dyDescent="0.35"/>
  <cols>
    <col min="2" max="2" width="17.08984375" customWidth="1"/>
  </cols>
  <sheetData>
    <row r="1" spans="1:7" x14ac:dyDescent="0.35">
      <c r="A1" t="s">
        <v>7</v>
      </c>
      <c r="B1" t="s">
        <v>8</v>
      </c>
      <c r="C1" t="s">
        <v>9</v>
      </c>
    </row>
    <row r="2" spans="1:7" x14ac:dyDescent="0.35">
      <c r="A2">
        <v>1</v>
      </c>
      <c r="B2">
        <v>264</v>
      </c>
      <c r="C2">
        <f>IF((B2-264)/1740&lt;0,0,(B2-264)/1740)</f>
        <v>0</v>
      </c>
    </row>
    <row r="3" spans="1:7" x14ac:dyDescent="0.35">
      <c r="A3">
        <v>2</v>
      </c>
      <c r="B3">
        <v>264</v>
      </c>
      <c r="C3">
        <f t="shared" ref="C3:C66" si="0">IF((B3-264)/1740&lt;0,0,(B3-264)/1740)</f>
        <v>0</v>
      </c>
      <c r="E3" t="s">
        <v>10</v>
      </c>
      <c r="F3">
        <v>2</v>
      </c>
      <c r="G3" t="s">
        <v>13</v>
      </c>
    </row>
    <row r="4" spans="1:7" x14ac:dyDescent="0.35">
      <c r="A4">
        <v>3</v>
      </c>
      <c r="B4">
        <v>264</v>
      </c>
      <c r="C4">
        <f t="shared" si="0"/>
        <v>0</v>
      </c>
      <c r="E4" t="s">
        <v>11</v>
      </c>
      <c r="F4">
        <f>F3/(SUM(C1:C178))</f>
        <v>0.17857142857142835</v>
      </c>
      <c r="G4" t="s">
        <v>12</v>
      </c>
    </row>
    <row r="5" spans="1:7" x14ac:dyDescent="0.35">
      <c r="A5">
        <v>4</v>
      </c>
      <c r="B5">
        <v>264</v>
      </c>
      <c r="C5">
        <f t="shared" si="0"/>
        <v>0</v>
      </c>
      <c r="F5">
        <f>F4*1000</f>
        <v>178.57142857142836</v>
      </c>
      <c r="G5" t="s">
        <v>14</v>
      </c>
    </row>
    <row r="6" spans="1:7" x14ac:dyDescent="0.35">
      <c r="A6">
        <v>5</v>
      </c>
      <c r="B6">
        <v>264</v>
      </c>
      <c r="C6">
        <f t="shared" si="0"/>
        <v>0</v>
      </c>
    </row>
    <row r="7" spans="1:7" x14ac:dyDescent="0.35">
      <c r="A7">
        <v>6</v>
      </c>
      <c r="B7">
        <v>264</v>
      </c>
      <c r="C7">
        <f t="shared" si="0"/>
        <v>0</v>
      </c>
    </row>
    <row r="8" spans="1:7" x14ac:dyDescent="0.35">
      <c r="A8">
        <v>7</v>
      </c>
      <c r="B8">
        <v>264</v>
      </c>
      <c r="C8">
        <f t="shared" si="0"/>
        <v>0</v>
      </c>
    </row>
    <row r="9" spans="1:7" x14ac:dyDescent="0.35">
      <c r="A9">
        <v>8</v>
      </c>
      <c r="B9">
        <v>264</v>
      </c>
      <c r="C9">
        <f t="shared" si="0"/>
        <v>0</v>
      </c>
    </row>
    <row r="10" spans="1:7" x14ac:dyDescent="0.35">
      <c r="A10">
        <v>9</v>
      </c>
      <c r="B10">
        <v>264</v>
      </c>
      <c r="C10">
        <f t="shared" si="0"/>
        <v>0</v>
      </c>
    </row>
    <row r="11" spans="1:7" x14ac:dyDescent="0.35">
      <c r="A11">
        <v>10</v>
      </c>
      <c r="B11">
        <v>264</v>
      </c>
      <c r="C11">
        <f t="shared" si="0"/>
        <v>0</v>
      </c>
    </row>
    <row r="12" spans="1:7" x14ac:dyDescent="0.35">
      <c r="A12">
        <v>11</v>
      </c>
      <c r="B12">
        <v>264</v>
      </c>
      <c r="C12">
        <f t="shared" si="0"/>
        <v>0</v>
      </c>
    </row>
    <row r="13" spans="1:7" x14ac:dyDescent="0.35">
      <c r="A13">
        <v>12</v>
      </c>
      <c r="B13">
        <v>264</v>
      </c>
      <c r="C13">
        <f t="shared" si="0"/>
        <v>0</v>
      </c>
    </row>
    <row r="14" spans="1:7" x14ac:dyDescent="0.35">
      <c r="A14">
        <v>13</v>
      </c>
      <c r="B14">
        <v>264</v>
      </c>
      <c r="C14">
        <f t="shared" si="0"/>
        <v>0</v>
      </c>
    </row>
    <row r="15" spans="1:7" x14ac:dyDescent="0.35">
      <c r="A15">
        <v>14</v>
      </c>
      <c r="B15">
        <v>264</v>
      </c>
      <c r="C15">
        <f t="shared" si="0"/>
        <v>0</v>
      </c>
    </row>
    <row r="16" spans="1:7" x14ac:dyDescent="0.35">
      <c r="A16">
        <v>15</v>
      </c>
      <c r="B16">
        <v>264</v>
      </c>
      <c r="C16">
        <f t="shared" si="0"/>
        <v>0</v>
      </c>
    </row>
    <row r="17" spans="1:3" x14ac:dyDescent="0.35">
      <c r="A17">
        <v>16</v>
      </c>
      <c r="B17">
        <v>264</v>
      </c>
      <c r="C17">
        <f t="shared" si="0"/>
        <v>0</v>
      </c>
    </row>
    <row r="18" spans="1:3" x14ac:dyDescent="0.35">
      <c r="A18">
        <v>17</v>
      </c>
      <c r="B18">
        <v>264</v>
      </c>
      <c r="C18">
        <f t="shared" si="0"/>
        <v>0</v>
      </c>
    </row>
    <row r="19" spans="1:3" x14ac:dyDescent="0.35">
      <c r="A19">
        <v>18</v>
      </c>
      <c r="B19">
        <v>264</v>
      </c>
      <c r="C19">
        <f t="shared" si="0"/>
        <v>0</v>
      </c>
    </row>
    <row r="20" spans="1:3" x14ac:dyDescent="0.35">
      <c r="A20">
        <v>19</v>
      </c>
      <c r="B20">
        <v>264</v>
      </c>
      <c r="C20">
        <f t="shared" si="0"/>
        <v>0</v>
      </c>
    </row>
    <row r="21" spans="1:3" x14ac:dyDescent="0.35">
      <c r="A21">
        <v>20</v>
      </c>
      <c r="B21">
        <v>264</v>
      </c>
      <c r="C21">
        <f t="shared" si="0"/>
        <v>0</v>
      </c>
    </row>
    <row r="22" spans="1:3" x14ac:dyDescent="0.35">
      <c r="A22">
        <v>21</v>
      </c>
      <c r="B22">
        <v>264</v>
      </c>
      <c r="C22">
        <f t="shared" si="0"/>
        <v>0</v>
      </c>
    </row>
    <row r="23" spans="1:3" x14ac:dyDescent="0.35">
      <c r="A23">
        <v>22</v>
      </c>
      <c r="B23">
        <v>264</v>
      </c>
      <c r="C23">
        <f t="shared" si="0"/>
        <v>0</v>
      </c>
    </row>
    <row r="24" spans="1:3" x14ac:dyDescent="0.35">
      <c r="A24">
        <v>23</v>
      </c>
      <c r="B24">
        <v>264</v>
      </c>
      <c r="C24">
        <f t="shared" si="0"/>
        <v>0</v>
      </c>
    </row>
    <row r="25" spans="1:3" x14ac:dyDescent="0.35">
      <c r="A25">
        <v>24</v>
      </c>
      <c r="B25">
        <v>264</v>
      </c>
      <c r="C25">
        <f t="shared" si="0"/>
        <v>0</v>
      </c>
    </row>
    <row r="26" spans="1:3" x14ac:dyDescent="0.35">
      <c r="A26">
        <v>25</v>
      </c>
      <c r="B26">
        <v>264</v>
      </c>
      <c r="C26">
        <f t="shared" si="0"/>
        <v>0</v>
      </c>
    </row>
    <row r="27" spans="1:3" x14ac:dyDescent="0.35">
      <c r="A27">
        <v>26</v>
      </c>
      <c r="B27">
        <v>264</v>
      </c>
      <c r="C27">
        <f t="shared" si="0"/>
        <v>0</v>
      </c>
    </row>
    <row r="28" spans="1:3" x14ac:dyDescent="0.35">
      <c r="A28">
        <v>27</v>
      </c>
      <c r="B28">
        <v>264</v>
      </c>
      <c r="C28">
        <f t="shared" si="0"/>
        <v>0</v>
      </c>
    </row>
    <row r="29" spans="1:3" x14ac:dyDescent="0.35">
      <c r="A29">
        <v>28</v>
      </c>
      <c r="B29">
        <v>264</v>
      </c>
      <c r="C29">
        <f t="shared" si="0"/>
        <v>0</v>
      </c>
    </row>
    <row r="30" spans="1:3" x14ac:dyDescent="0.35">
      <c r="A30">
        <v>29</v>
      </c>
      <c r="B30">
        <v>264</v>
      </c>
      <c r="C30">
        <f t="shared" si="0"/>
        <v>0</v>
      </c>
    </row>
    <row r="31" spans="1:3" x14ac:dyDescent="0.35">
      <c r="A31">
        <v>30</v>
      </c>
      <c r="B31">
        <v>264</v>
      </c>
      <c r="C31">
        <f t="shared" si="0"/>
        <v>0</v>
      </c>
    </row>
    <row r="32" spans="1:3" x14ac:dyDescent="0.35">
      <c r="A32">
        <v>31</v>
      </c>
      <c r="B32">
        <v>264</v>
      </c>
      <c r="C32">
        <f t="shared" si="0"/>
        <v>0</v>
      </c>
    </row>
    <row r="33" spans="1:3" x14ac:dyDescent="0.35">
      <c r="A33">
        <v>32</v>
      </c>
      <c r="B33">
        <v>264</v>
      </c>
      <c r="C33">
        <f t="shared" si="0"/>
        <v>0</v>
      </c>
    </row>
    <row r="34" spans="1:3" x14ac:dyDescent="0.35">
      <c r="A34">
        <v>33</v>
      </c>
      <c r="B34">
        <v>264</v>
      </c>
      <c r="C34">
        <f t="shared" si="0"/>
        <v>0</v>
      </c>
    </row>
    <row r="35" spans="1:3" x14ac:dyDescent="0.35">
      <c r="A35">
        <v>34</v>
      </c>
      <c r="B35">
        <v>264</v>
      </c>
      <c r="C35">
        <f t="shared" si="0"/>
        <v>0</v>
      </c>
    </row>
    <row r="36" spans="1:3" x14ac:dyDescent="0.35">
      <c r="A36">
        <v>35</v>
      </c>
      <c r="B36">
        <v>264</v>
      </c>
      <c r="C36">
        <f t="shared" si="0"/>
        <v>0</v>
      </c>
    </row>
    <row r="37" spans="1:3" x14ac:dyDescent="0.35">
      <c r="A37">
        <v>36</v>
      </c>
      <c r="B37">
        <v>264</v>
      </c>
      <c r="C37">
        <f t="shared" si="0"/>
        <v>0</v>
      </c>
    </row>
    <row r="38" spans="1:3" x14ac:dyDescent="0.35">
      <c r="A38">
        <v>37</v>
      </c>
      <c r="B38">
        <v>264</v>
      </c>
      <c r="C38">
        <f t="shared" si="0"/>
        <v>0</v>
      </c>
    </row>
    <row r="39" spans="1:3" x14ac:dyDescent="0.35">
      <c r="A39">
        <v>38</v>
      </c>
      <c r="B39">
        <v>264</v>
      </c>
      <c r="C39">
        <f t="shared" si="0"/>
        <v>0</v>
      </c>
    </row>
    <row r="40" spans="1:3" x14ac:dyDescent="0.35">
      <c r="A40">
        <v>39</v>
      </c>
      <c r="B40">
        <v>264</v>
      </c>
      <c r="C40">
        <f t="shared" si="0"/>
        <v>0</v>
      </c>
    </row>
    <row r="41" spans="1:3" x14ac:dyDescent="0.35">
      <c r="A41">
        <v>40</v>
      </c>
      <c r="B41">
        <v>264</v>
      </c>
      <c r="C41">
        <f t="shared" si="0"/>
        <v>0</v>
      </c>
    </row>
    <row r="42" spans="1:3" x14ac:dyDescent="0.35">
      <c r="A42">
        <v>41</v>
      </c>
      <c r="B42">
        <v>264</v>
      </c>
      <c r="C42">
        <f t="shared" si="0"/>
        <v>0</v>
      </c>
    </row>
    <row r="43" spans="1:3" x14ac:dyDescent="0.35">
      <c r="A43">
        <v>42</v>
      </c>
      <c r="B43">
        <v>264</v>
      </c>
      <c r="C43">
        <f t="shared" si="0"/>
        <v>0</v>
      </c>
    </row>
    <row r="44" spans="1:3" x14ac:dyDescent="0.35">
      <c r="A44">
        <v>43</v>
      </c>
      <c r="B44">
        <v>264</v>
      </c>
      <c r="C44">
        <f t="shared" si="0"/>
        <v>0</v>
      </c>
    </row>
    <row r="45" spans="1:3" x14ac:dyDescent="0.35">
      <c r="A45">
        <v>44</v>
      </c>
      <c r="B45">
        <v>264</v>
      </c>
      <c r="C45">
        <f t="shared" si="0"/>
        <v>0</v>
      </c>
    </row>
    <row r="46" spans="1:3" x14ac:dyDescent="0.35">
      <c r="A46">
        <v>45</v>
      </c>
      <c r="B46">
        <v>264</v>
      </c>
      <c r="C46">
        <f t="shared" si="0"/>
        <v>0</v>
      </c>
    </row>
    <row r="47" spans="1:3" x14ac:dyDescent="0.35">
      <c r="A47">
        <v>46</v>
      </c>
      <c r="B47">
        <v>264</v>
      </c>
      <c r="C47">
        <f t="shared" si="0"/>
        <v>0</v>
      </c>
    </row>
    <row r="48" spans="1:3" x14ac:dyDescent="0.35">
      <c r="A48">
        <v>47</v>
      </c>
      <c r="B48">
        <v>265</v>
      </c>
      <c r="C48">
        <f t="shared" si="0"/>
        <v>5.7471264367816091E-4</v>
      </c>
    </row>
    <row r="49" spans="1:3" x14ac:dyDescent="0.35">
      <c r="A49">
        <v>48</v>
      </c>
      <c r="B49">
        <v>266</v>
      </c>
      <c r="C49">
        <f t="shared" si="0"/>
        <v>1.1494252873563218E-3</v>
      </c>
    </row>
    <row r="50" spans="1:3" x14ac:dyDescent="0.35">
      <c r="A50">
        <v>49</v>
      </c>
      <c r="B50">
        <v>268</v>
      </c>
      <c r="C50">
        <f t="shared" si="0"/>
        <v>2.2988505747126436E-3</v>
      </c>
    </row>
    <row r="51" spans="1:3" x14ac:dyDescent="0.35">
      <c r="A51">
        <v>50</v>
      </c>
      <c r="B51">
        <v>275</v>
      </c>
      <c r="C51">
        <f t="shared" si="0"/>
        <v>6.32183908045977E-3</v>
      </c>
    </row>
    <row r="52" spans="1:3" x14ac:dyDescent="0.35">
      <c r="A52">
        <v>51</v>
      </c>
      <c r="B52">
        <v>286</v>
      </c>
      <c r="C52">
        <f t="shared" si="0"/>
        <v>1.264367816091954E-2</v>
      </c>
    </row>
    <row r="53" spans="1:3" x14ac:dyDescent="0.35">
      <c r="A53">
        <v>52</v>
      </c>
      <c r="B53">
        <v>312</v>
      </c>
      <c r="C53">
        <f t="shared" si="0"/>
        <v>2.7586206896551724E-2</v>
      </c>
    </row>
    <row r="54" spans="1:3" x14ac:dyDescent="0.35">
      <c r="A54">
        <v>53</v>
      </c>
      <c r="B54">
        <v>329</v>
      </c>
      <c r="C54">
        <f t="shared" si="0"/>
        <v>3.7356321839080463E-2</v>
      </c>
    </row>
    <row r="55" spans="1:3" x14ac:dyDescent="0.35">
      <c r="A55">
        <v>54</v>
      </c>
      <c r="B55">
        <v>329</v>
      </c>
      <c r="C55">
        <f t="shared" si="0"/>
        <v>3.7356321839080463E-2</v>
      </c>
    </row>
    <row r="56" spans="1:3" x14ac:dyDescent="0.35">
      <c r="A56">
        <v>55</v>
      </c>
      <c r="B56">
        <v>387</v>
      </c>
      <c r="C56">
        <f t="shared" si="0"/>
        <v>7.0689655172413796E-2</v>
      </c>
    </row>
    <row r="57" spans="1:3" x14ac:dyDescent="0.35">
      <c r="A57">
        <v>56</v>
      </c>
      <c r="B57">
        <v>419</v>
      </c>
      <c r="C57">
        <f t="shared" si="0"/>
        <v>8.9080459770114945E-2</v>
      </c>
    </row>
    <row r="58" spans="1:3" x14ac:dyDescent="0.35">
      <c r="A58">
        <v>57</v>
      </c>
      <c r="B58">
        <v>419</v>
      </c>
      <c r="C58">
        <f t="shared" si="0"/>
        <v>8.9080459770114945E-2</v>
      </c>
    </row>
    <row r="59" spans="1:3" x14ac:dyDescent="0.35">
      <c r="A59">
        <v>58</v>
      </c>
      <c r="B59">
        <v>513</v>
      </c>
      <c r="C59">
        <f t="shared" si="0"/>
        <v>0.14310344827586208</v>
      </c>
    </row>
    <row r="60" spans="1:3" x14ac:dyDescent="0.35">
      <c r="A60">
        <v>59</v>
      </c>
      <c r="B60">
        <v>532</v>
      </c>
      <c r="C60">
        <f t="shared" si="0"/>
        <v>0.15402298850574714</v>
      </c>
    </row>
    <row r="61" spans="1:3" x14ac:dyDescent="0.35">
      <c r="A61">
        <v>60</v>
      </c>
      <c r="B61">
        <v>606</v>
      </c>
      <c r="C61">
        <f t="shared" si="0"/>
        <v>0.19655172413793104</v>
      </c>
    </row>
    <row r="62" spans="1:3" x14ac:dyDescent="0.35">
      <c r="A62">
        <v>61</v>
      </c>
      <c r="B62">
        <v>654</v>
      </c>
      <c r="C62">
        <f t="shared" si="0"/>
        <v>0.22413793103448276</v>
      </c>
    </row>
    <row r="63" spans="1:3" x14ac:dyDescent="0.35">
      <c r="A63">
        <v>62</v>
      </c>
      <c r="B63">
        <v>697</v>
      </c>
      <c r="C63">
        <f t="shared" si="0"/>
        <v>0.24885057471264369</v>
      </c>
    </row>
    <row r="64" spans="1:3" x14ac:dyDescent="0.35">
      <c r="A64">
        <v>63</v>
      </c>
      <c r="B64">
        <v>727</v>
      </c>
      <c r="C64">
        <f t="shared" si="0"/>
        <v>0.26609195402298852</v>
      </c>
    </row>
    <row r="65" spans="1:3" x14ac:dyDescent="0.35">
      <c r="A65">
        <v>64</v>
      </c>
      <c r="B65">
        <v>790</v>
      </c>
      <c r="C65">
        <f t="shared" si="0"/>
        <v>0.30229885057471262</v>
      </c>
    </row>
    <row r="66" spans="1:3" x14ac:dyDescent="0.35">
      <c r="A66">
        <v>65</v>
      </c>
      <c r="B66">
        <v>831</v>
      </c>
      <c r="C66">
        <f t="shared" si="0"/>
        <v>0.32586206896551723</v>
      </c>
    </row>
    <row r="67" spans="1:3" x14ac:dyDescent="0.35">
      <c r="A67">
        <v>66</v>
      </c>
      <c r="B67">
        <v>851</v>
      </c>
      <c r="C67">
        <f t="shared" ref="C67:C130" si="1">IF((B67-264)/1740&lt;0,0,(B67-264)/1740)</f>
        <v>0.33735632183908049</v>
      </c>
    </row>
    <row r="68" spans="1:3" x14ac:dyDescent="0.35">
      <c r="A68">
        <v>67</v>
      </c>
      <c r="B68">
        <v>869</v>
      </c>
      <c r="C68">
        <f t="shared" si="1"/>
        <v>0.34770114942528735</v>
      </c>
    </row>
    <row r="69" spans="1:3" x14ac:dyDescent="0.35">
      <c r="A69">
        <v>68</v>
      </c>
      <c r="B69">
        <v>869</v>
      </c>
      <c r="C69">
        <f t="shared" si="1"/>
        <v>0.34770114942528735</v>
      </c>
    </row>
    <row r="70" spans="1:3" x14ac:dyDescent="0.35">
      <c r="A70">
        <v>69</v>
      </c>
      <c r="B70">
        <v>888</v>
      </c>
      <c r="C70">
        <f t="shared" si="1"/>
        <v>0.35862068965517241</v>
      </c>
    </row>
    <row r="71" spans="1:3" x14ac:dyDescent="0.35">
      <c r="A71">
        <v>70</v>
      </c>
      <c r="B71">
        <v>895</v>
      </c>
      <c r="C71">
        <f t="shared" si="1"/>
        <v>0.36264367816091952</v>
      </c>
    </row>
    <row r="72" spans="1:3" x14ac:dyDescent="0.35">
      <c r="A72">
        <v>71</v>
      </c>
      <c r="B72">
        <v>883</v>
      </c>
      <c r="C72">
        <f t="shared" si="1"/>
        <v>0.35574712643678164</v>
      </c>
    </row>
    <row r="73" spans="1:3" x14ac:dyDescent="0.35">
      <c r="A73">
        <v>72</v>
      </c>
      <c r="B73">
        <v>878</v>
      </c>
      <c r="C73">
        <f t="shared" si="1"/>
        <v>0.35287356321839081</v>
      </c>
    </row>
    <row r="74" spans="1:3" x14ac:dyDescent="0.35">
      <c r="A74">
        <v>73</v>
      </c>
      <c r="B74">
        <v>886</v>
      </c>
      <c r="C74">
        <f t="shared" si="1"/>
        <v>0.35747126436781607</v>
      </c>
    </row>
    <row r="75" spans="1:3" x14ac:dyDescent="0.35">
      <c r="A75">
        <v>74</v>
      </c>
      <c r="B75">
        <v>863</v>
      </c>
      <c r="C75">
        <f t="shared" si="1"/>
        <v>0.34425287356321838</v>
      </c>
    </row>
    <row r="76" spans="1:3" x14ac:dyDescent="0.35">
      <c r="A76">
        <v>75</v>
      </c>
      <c r="B76">
        <v>864</v>
      </c>
      <c r="C76">
        <f t="shared" si="1"/>
        <v>0.34482758620689657</v>
      </c>
    </row>
    <row r="77" spans="1:3" x14ac:dyDescent="0.35">
      <c r="A77">
        <v>76</v>
      </c>
      <c r="B77">
        <v>830</v>
      </c>
      <c r="C77">
        <f t="shared" si="1"/>
        <v>0.32528735632183908</v>
      </c>
    </row>
    <row r="78" spans="1:3" x14ac:dyDescent="0.35">
      <c r="A78">
        <v>77</v>
      </c>
      <c r="B78">
        <v>830</v>
      </c>
      <c r="C78">
        <f t="shared" si="1"/>
        <v>0.32528735632183908</v>
      </c>
    </row>
    <row r="79" spans="1:3" x14ac:dyDescent="0.35">
      <c r="A79">
        <v>78</v>
      </c>
      <c r="B79">
        <v>830</v>
      </c>
      <c r="C79">
        <f t="shared" si="1"/>
        <v>0.32528735632183908</v>
      </c>
    </row>
    <row r="80" spans="1:3" x14ac:dyDescent="0.35">
      <c r="A80">
        <v>79</v>
      </c>
      <c r="B80">
        <v>830</v>
      </c>
      <c r="C80">
        <f t="shared" si="1"/>
        <v>0.32528735632183908</v>
      </c>
    </row>
    <row r="81" spans="1:3" x14ac:dyDescent="0.35">
      <c r="A81">
        <v>80</v>
      </c>
      <c r="B81">
        <v>742</v>
      </c>
      <c r="C81">
        <f t="shared" si="1"/>
        <v>0.27471264367816089</v>
      </c>
    </row>
    <row r="82" spans="1:3" x14ac:dyDescent="0.35">
      <c r="A82">
        <v>81</v>
      </c>
      <c r="B82">
        <v>719</v>
      </c>
      <c r="C82">
        <f t="shared" si="1"/>
        <v>0.2614942528735632</v>
      </c>
    </row>
    <row r="83" spans="1:3" x14ac:dyDescent="0.35">
      <c r="A83">
        <v>82</v>
      </c>
      <c r="B83">
        <v>702</v>
      </c>
      <c r="C83">
        <f t="shared" si="1"/>
        <v>0.25172413793103449</v>
      </c>
    </row>
    <row r="84" spans="1:3" x14ac:dyDescent="0.35">
      <c r="A84">
        <v>83</v>
      </c>
      <c r="B84">
        <v>672</v>
      </c>
      <c r="C84">
        <f t="shared" si="1"/>
        <v>0.23448275862068965</v>
      </c>
    </row>
    <row r="85" spans="1:3" x14ac:dyDescent="0.35">
      <c r="A85">
        <v>84</v>
      </c>
      <c r="B85">
        <v>657</v>
      </c>
      <c r="C85">
        <f t="shared" si="1"/>
        <v>0.22586206896551725</v>
      </c>
    </row>
    <row r="86" spans="1:3" x14ac:dyDescent="0.35">
      <c r="A86">
        <v>85</v>
      </c>
      <c r="B86">
        <v>632</v>
      </c>
      <c r="C86">
        <f t="shared" si="1"/>
        <v>0.21149425287356322</v>
      </c>
    </row>
    <row r="87" spans="1:3" x14ac:dyDescent="0.35">
      <c r="A87">
        <v>86</v>
      </c>
      <c r="B87">
        <v>591</v>
      </c>
      <c r="C87">
        <f t="shared" si="1"/>
        <v>0.18793103448275861</v>
      </c>
    </row>
    <row r="88" spans="1:3" x14ac:dyDescent="0.35">
      <c r="A88">
        <v>87</v>
      </c>
      <c r="B88">
        <v>575</v>
      </c>
      <c r="C88">
        <f t="shared" si="1"/>
        <v>0.17873563218390803</v>
      </c>
    </row>
    <row r="89" spans="1:3" x14ac:dyDescent="0.35">
      <c r="A89">
        <v>88</v>
      </c>
      <c r="B89">
        <v>552</v>
      </c>
      <c r="C89">
        <f t="shared" si="1"/>
        <v>0.16551724137931034</v>
      </c>
    </row>
    <row r="90" spans="1:3" x14ac:dyDescent="0.35">
      <c r="A90">
        <v>89</v>
      </c>
      <c r="B90">
        <v>532</v>
      </c>
      <c r="C90">
        <f t="shared" si="1"/>
        <v>0.15402298850574714</v>
      </c>
    </row>
    <row r="91" spans="1:3" x14ac:dyDescent="0.35">
      <c r="A91">
        <v>90</v>
      </c>
      <c r="B91">
        <v>513</v>
      </c>
      <c r="C91">
        <f t="shared" si="1"/>
        <v>0.14310344827586208</v>
      </c>
    </row>
    <row r="92" spans="1:3" x14ac:dyDescent="0.35">
      <c r="A92">
        <v>91</v>
      </c>
      <c r="B92">
        <v>496</v>
      </c>
      <c r="C92">
        <f t="shared" si="1"/>
        <v>0.13333333333333333</v>
      </c>
    </row>
    <row r="93" spans="1:3" x14ac:dyDescent="0.35">
      <c r="A93">
        <v>92</v>
      </c>
      <c r="B93">
        <v>480</v>
      </c>
      <c r="C93">
        <f t="shared" si="1"/>
        <v>0.12413793103448276</v>
      </c>
    </row>
    <row r="94" spans="1:3" x14ac:dyDescent="0.35">
      <c r="A94">
        <v>93</v>
      </c>
      <c r="B94">
        <v>468</v>
      </c>
      <c r="C94">
        <f t="shared" si="1"/>
        <v>0.11724137931034483</v>
      </c>
    </row>
    <row r="95" spans="1:3" x14ac:dyDescent="0.35">
      <c r="A95">
        <v>94</v>
      </c>
      <c r="B95">
        <v>453</v>
      </c>
      <c r="C95">
        <f t="shared" si="1"/>
        <v>0.10862068965517241</v>
      </c>
    </row>
    <row r="96" spans="1:3" x14ac:dyDescent="0.35">
      <c r="A96">
        <v>95</v>
      </c>
      <c r="B96">
        <v>441</v>
      </c>
      <c r="C96">
        <f t="shared" si="1"/>
        <v>0.10172413793103448</v>
      </c>
    </row>
    <row r="97" spans="1:3" x14ac:dyDescent="0.35">
      <c r="A97">
        <v>96</v>
      </c>
      <c r="B97">
        <v>426</v>
      </c>
      <c r="C97">
        <f t="shared" si="1"/>
        <v>9.3103448275862075E-2</v>
      </c>
    </row>
    <row r="98" spans="1:3" x14ac:dyDescent="0.35">
      <c r="A98">
        <v>97</v>
      </c>
      <c r="B98">
        <v>412</v>
      </c>
      <c r="C98">
        <f t="shared" si="1"/>
        <v>8.5057471264367815E-2</v>
      </c>
    </row>
    <row r="99" spans="1:3" x14ac:dyDescent="0.35">
      <c r="A99">
        <v>98</v>
      </c>
      <c r="B99">
        <v>402</v>
      </c>
      <c r="C99">
        <f t="shared" si="1"/>
        <v>7.9310344827586213E-2</v>
      </c>
    </row>
    <row r="100" spans="1:3" x14ac:dyDescent="0.35">
      <c r="A100">
        <v>99</v>
      </c>
      <c r="B100">
        <v>392</v>
      </c>
      <c r="C100">
        <f t="shared" si="1"/>
        <v>7.3563218390804597E-2</v>
      </c>
    </row>
    <row r="101" spans="1:3" x14ac:dyDescent="0.35">
      <c r="A101">
        <v>100</v>
      </c>
      <c r="B101">
        <v>384</v>
      </c>
      <c r="C101">
        <f t="shared" si="1"/>
        <v>6.8965517241379309E-2</v>
      </c>
    </row>
    <row r="102" spans="1:3" x14ac:dyDescent="0.35">
      <c r="A102">
        <v>101</v>
      </c>
      <c r="B102">
        <v>376</v>
      </c>
      <c r="C102">
        <f t="shared" si="1"/>
        <v>6.4367816091954022E-2</v>
      </c>
    </row>
    <row r="103" spans="1:3" x14ac:dyDescent="0.35">
      <c r="A103">
        <v>102</v>
      </c>
      <c r="B103">
        <v>365</v>
      </c>
      <c r="C103">
        <f t="shared" si="1"/>
        <v>5.8045977011494256E-2</v>
      </c>
    </row>
    <row r="104" spans="1:3" x14ac:dyDescent="0.35">
      <c r="A104">
        <v>103</v>
      </c>
      <c r="B104">
        <v>361</v>
      </c>
      <c r="C104">
        <f t="shared" si="1"/>
        <v>5.5747126436781612E-2</v>
      </c>
    </row>
    <row r="105" spans="1:3" x14ac:dyDescent="0.35">
      <c r="A105">
        <v>104</v>
      </c>
      <c r="B105">
        <v>351</v>
      </c>
      <c r="C105">
        <f t="shared" si="1"/>
        <v>0.05</v>
      </c>
    </row>
    <row r="106" spans="1:3" x14ac:dyDescent="0.35">
      <c r="A106">
        <v>105</v>
      </c>
      <c r="B106">
        <v>345</v>
      </c>
      <c r="C106">
        <f t="shared" si="1"/>
        <v>4.6551724137931037E-2</v>
      </c>
    </row>
    <row r="107" spans="1:3" x14ac:dyDescent="0.35">
      <c r="A107">
        <v>106</v>
      </c>
      <c r="B107">
        <v>338</v>
      </c>
      <c r="C107">
        <f t="shared" si="1"/>
        <v>4.2528735632183907E-2</v>
      </c>
    </row>
    <row r="108" spans="1:3" x14ac:dyDescent="0.35">
      <c r="A108">
        <v>107</v>
      </c>
      <c r="B108">
        <v>334</v>
      </c>
      <c r="C108">
        <f t="shared" si="1"/>
        <v>4.0229885057471264E-2</v>
      </c>
    </row>
    <row r="109" spans="1:3" x14ac:dyDescent="0.35">
      <c r="A109">
        <v>108</v>
      </c>
      <c r="B109">
        <v>326</v>
      </c>
      <c r="C109">
        <f t="shared" si="1"/>
        <v>3.5632183908045977E-2</v>
      </c>
    </row>
    <row r="110" spans="1:3" x14ac:dyDescent="0.35">
      <c r="A110">
        <v>109</v>
      </c>
      <c r="B110">
        <v>322</v>
      </c>
      <c r="C110">
        <f t="shared" si="1"/>
        <v>3.3333333333333333E-2</v>
      </c>
    </row>
    <row r="111" spans="1:3" x14ac:dyDescent="0.35">
      <c r="A111">
        <v>110</v>
      </c>
      <c r="B111">
        <v>318</v>
      </c>
      <c r="C111">
        <f t="shared" si="1"/>
        <v>3.1034482758620689E-2</v>
      </c>
    </row>
    <row r="112" spans="1:3" x14ac:dyDescent="0.35">
      <c r="A112">
        <v>111</v>
      </c>
      <c r="B112">
        <v>314</v>
      </c>
      <c r="C112">
        <f t="shared" si="1"/>
        <v>2.8735632183908046E-2</v>
      </c>
    </row>
    <row r="113" spans="1:3" x14ac:dyDescent="0.35">
      <c r="A113">
        <v>112</v>
      </c>
      <c r="B113">
        <v>311</v>
      </c>
      <c r="C113">
        <f t="shared" si="1"/>
        <v>2.7011494252873563E-2</v>
      </c>
    </row>
    <row r="114" spans="1:3" x14ac:dyDescent="0.35">
      <c r="A114">
        <v>113</v>
      </c>
      <c r="B114">
        <v>306</v>
      </c>
      <c r="C114">
        <f t="shared" si="1"/>
        <v>2.4137931034482758E-2</v>
      </c>
    </row>
    <row r="115" spans="1:3" x14ac:dyDescent="0.35">
      <c r="A115">
        <v>114</v>
      </c>
      <c r="B115">
        <v>303</v>
      </c>
      <c r="C115">
        <f t="shared" si="1"/>
        <v>2.2413793103448276E-2</v>
      </c>
    </row>
    <row r="116" spans="1:3" x14ac:dyDescent="0.35">
      <c r="A116">
        <v>115</v>
      </c>
      <c r="B116">
        <v>300</v>
      </c>
      <c r="C116">
        <f t="shared" si="1"/>
        <v>2.0689655172413793E-2</v>
      </c>
    </row>
    <row r="117" spans="1:3" x14ac:dyDescent="0.35">
      <c r="A117">
        <v>116</v>
      </c>
      <c r="B117">
        <v>299</v>
      </c>
      <c r="C117">
        <f t="shared" si="1"/>
        <v>2.0114942528735632E-2</v>
      </c>
    </row>
    <row r="118" spans="1:3" x14ac:dyDescent="0.35">
      <c r="A118">
        <v>117</v>
      </c>
      <c r="B118">
        <v>295</v>
      </c>
      <c r="C118">
        <f t="shared" si="1"/>
        <v>1.7816091954022988E-2</v>
      </c>
    </row>
    <row r="119" spans="1:3" x14ac:dyDescent="0.35">
      <c r="A119">
        <v>118</v>
      </c>
      <c r="B119">
        <v>293</v>
      </c>
      <c r="C119">
        <f t="shared" si="1"/>
        <v>1.6666666666666666E-2</v>
      </c>
    </row>
    <row r="120" spans="1:3" x14ac:dyDescent="0.35">
      <c r="A120">
        <v>119</v>
      </c>
      <c r="B120">
        <v>291</v>
      </c>
      <c r="C120">
        <f t="shared" si="1"/>
        <v>1.5517241379310345E-2</v>
      </c>
    </row>
    <row r="121" spans="1:3" x14ac:dyDescent="0.35">
      <c r="A121">
        <v>120</v>
      </c>
      <c r="B121">
        <v>290</v>
      </c>
      <c r="C121">
        <f t="shared" si="1"/>
        <v>1.4942528735632184E-2</v>
      </c>
    </row>
    <row r="122" spans="1:3" x14ac:dyDescent="0.35">
      <c r="A122">
        <v>121</v>
      </c>
      <c r="B122">
        <v>288</v>
      </c>
      <c r="C122">
        <f t="shared" si="1"/>
        <v>1.3793103448275862E-2</v>
      </c>
    </row>
    <row r="123" spans="1:3" x14ac:dyDescent="0.35">
      <c r="A123">
        <v>122</v>
      </c>
      <c r="B123">
        <v>286</v>
      </c>
      <c r="C123">
        <f t="shared" si="1"/>
        <v>1.264367816091954E-2</v>
      </c>
    </row>
    <row r="124" spans="1:3" x14ac:dyDescent="0.35">
      <c r="A124">
        <v>123</v>
      </c>
      <c r="B124">
        <v>284</v>
      </c>
      <c r="C124">
        <f t="shared" si="1"/>
        <v>1.1494252873563218E-2</v>
      </c>
    </row>
    <row r="125" spans="1:3" x14ac:dyDescent="0.35">
      <c r="A125">
        <v>124</v>
      </c>
      <c r="B125">
        <v>283</v>
      </c>
      <c r="C125">
        <f t="shared" si="1"/>
        <v>1.0919540229885057E-2</v>
      </c>
    </row>
    <row r="126" spans="1:3" x14ac:dyDescent="0.35">
      <c r="A126">
        <v>125</v>
      </c>
      <c r="B126">
        <v>282</v>
      </c>
      <c r="C126">
        <f t="shared" si="1"/>
        <v>1.0344827586206896E-2</v>
      </c>
    </row>
    <row r="127" spans="1:3" x14ac:dyDescent="0.35">
      <c r="A127">
        <v>126</v>
      </c>
      <c r="B127">
        <v>281</v>
      </c>
      <c r="C127">
        <f t="shared" si="1"/>
        <v>9.7701149425287355E-3</v>
      </c>
    </row>
    <row r="128" spans="1:3" x14ac:dyDescent="0.35">
      <c r="A128">
        <v>127</v>
      </c>
      <c r="B128">
        <v>279</v>
      </c>
      <c r="C128">
        <f t="shared" si="1"/>
        <v>8.6206896551724137E-3</v>
      </c>
    </row>
    <row r="129" spans="1:3" x14ac:dyDescent="0.35">
      <c r="A129">
        <v>128</v>
      </c>
      <c r="B129">
        <v>278</v>
      </c>
      <c r="C129">
        <f t="shared" si="1"/>
        <v>8.0459770114942528E-3</v>
      </c>
    </row>
    <row r="130" spans="1:3" x14ac:dyDescent="0.35">
      <c r="A130">
        <v>129</v>
      </c>
      <c r="B130">
        <v>276</v>
      </c>
      <c r="C130">
        <f t="shared" si="1"/>
        <v>6.8965517241379309E-3</v>
      </c>
    </row>
    <row r="131" spans="1:3" x14ac:dyDescent="0.35">
      <c r="A131">
        <v>130</v>
      </c>
      <c r="B131">
        <v>275</v>
      </c>
      <c r="C131">
        <f t="shared" ref="C131:C187" si="2">IF((B131-264)/1740&lt;0,0,(B131-264)/1740)</f>
        <v>6.32183908045977E-3</v>
      </c>
    </row>
    <row r="132" spans="1:3" x14ac:dyDescent="0.35">
      <c r="A132">
        <v>131</v>
      </c>
      <c r="B132">
        <v>275</v>
      </c>
      <c r="C132">
        <f t="shared" si="2"/>
        <v>6.32183908045977E-3</v>
      </c>
    </row>
    <row r="133" spans="1:3" x14ac:dyDescent="0.35">
      <c r="A133">
        <v>132</v>
      </c>
      <c r="B133">
        <v>274</v>
      </c>
      <c r="C133">
        <f t="shared" si="2"/>
        <v>5.7471264367816091E-3</v>
      </c>
    </row>
    <row r="134" spans="1:3" x14ac:dyDescent="0.35">
      <c r="A134">
        <v>133</v>
      </c>
      <c r="B134">
        <v>273</v>
      </c>
      <c r="C134">
        <f t="shared" si="2"/>
        <v>5.1724137931034482E-3</v>
      </c>
    </row>
    <row r="135" spans="1:3" x14ac:dyDescent="0.35">
      <c r="A135">
        <v>134</v>
      </c>
      <c r="B135">
        <v>273</v>
      </c>
      <c r="C135">
        <f t="shared" si="2"/>
        <v>5.1724137931034482E-3</v>
      </c>
    </row>
    <row r="136" spans="1:3" x14ac:dyDescent="0.35">
      <c r="A136">
        <v>135</v>
      </c>
      <c r="B136">
        <v>272</v>
      </c>
      <c r="C136">
        <f t="shared" si="2"/>
        <v>4.5977011494252873E-3</v>
      </c>
    </row>
    <row r="137" spans="1:3" x14ac:dyDescent="0.35">
      <c r="A137">
        <v>136</v>
      </c>
      <c r="B137">
        <v>272</v>
      </c>
      <c r="C137">
        <f t="shared" si="2"/>
        <v>4.5977011494252873E-3</v>
      </c>
    </row>
    <row r="138" spans="1:3" x14ac:dyDescent="0.35">
      <c r="A138">
        <v>137</v>
      </c>
      <c r="B138">
        <v>271</v>
      </c>
      <c r="C138">
        <f t="shared" si="2"/>
        <v>4.0229885057471264E-3</v>
      </c>
    </row>
    <row r="139" spans="1:3" x14ac:dyDescent="0.35">
      <c r="A139">
        <v>138</v>
      </c>
      <c r="B139">
        <v>271</v>
      </c>
      <c r="C139">
        <f t="shared" si="2"/>
        <v>4.0229885057471264E-3</v>
      </c>
    </row>
    <row r="140" spans="1:3" x14ac:dyDescent="0.35">
      <c r="A140">
        <v>139</v>
      </c>
      <c r="B140">
        <v>271</v>
      </c>
      <c r="C140">
        <f t="shared" si="2"/>
        <v>4.0229885057471264E-3</v>
      </c>
    </row>
    <row r="141" spans="1:3" x14ac:dyDescent="0.35">
      <c r="A141">
        <v>140</v>
      </c>
      <c r="B141">
        <v>270</v>
      </c>
      <c r="C141">
        <f t="shared" si="2"/>
        <v>3.4482758620689655E-3</v>
      </c>
    </row>
    <row r="142" spans="1:3" x14ac:dyDescent="0.35">
      <c r="A142">
        <v>141</v>
      </c>
      <c r="B142">
        <v>270</v>
      </c>
      <c r="C142">
        <f t="shared" si="2"/>
        <v>3.4482758620689655E-3</v>
      </c>
    </row>
    <row r="143" spans="1:3" x14ac:dyDescent="0.35">
      <c r="A143">
        <v>142</v>
      </c>
      <c r="B143">
        <v>270</v>
      </c>
      <c r="C143">
        <f t="shared" si="2"/>
        <v>3.4482758620689655E-3</v>
      </c>
    </row>
    <row r="144" spans="1:3" x14ac:dyDescent="0.35">
      <c r="A144">
        <v>143</v>
      </c>
      <c r="B144">
        <v>269</v>
      </c>
      <c r="C144">
        <f t="shared" si="2"/>
        <v>2.8735632183908046E-3</v>
      </c>
    </row>
    <row r="145" spans="1:3" x14ac:dyDescent="0.35">
      <c r="A145">
        <v>144</v>
      </c>
      <c r="B145">
        <v>269</v>
      </c>
      <c r="C145">
        <f t="shared" si="2"/>
        <v>2.8735632183908046E-3</v>
      </c>
    </row>
    <row r="146" spans="1:3" x14ac:dyDescent="0.35">
      <c r="A146">
        <v>145</v>
      </c>
      <c r="B146">
        <v>269</v>
      </c>
      <c r="C146">
        <f t="shared" si="2"/>
        <v>2.8735632183908046E-3</v>
      </c>
    </row>
    <row r="147" spans="1:3" x14ac:dyDescent="0.35">
      <c r="A147">
        <v>146</v>
      </c>
      <c r="B147">
        <v>269</v>
      </c>
      <c r="C147">
        <f t="shared" si="2"/>
        <v>2.8735632183908046E-3</v>
      </c>
    </row>
    <row r="148" spans="1:3" x14ac:dyDescent="0.35">
      <c r="A148">
        <v>147</v>
      </c>
      <c r="B148">
        <v>268</v>
      </c>
      <c r="C148">
        <f t="shared" si="2"/>
        <v>2.2988505747126436E-3</v>
      </c>
    </row>
    <row r="149" spans="1:3" x14ac:dyDescent="0.35">
      <c r="A149">
        <v>148</v>
      </c>
      <c r="B149">
        <v>268</v>
      </c>
      <c r="C149">
        <f t="shared" si="2"/>
        <v>2.2988505747126436E-3</v>
      </c>
    </row>
    <row r="150" spans="1:3" x14ac:dyDescent="0.35">
      <c r="A150">
        <v>149</v>
      </c>
      <c r="B150">
        <v>268</v>
      </c>
      <c r="C150">
        <f t="shared" si="2"/>
        <v>2.2988505747126436E-3</v>
      </c>
    </row>
    <row r="151" spans="1:3" x14ac:dyDescent="0.35">
      <c r="A151">
        <v>150</v>
      </c>
      <c r="B151">
        <v>268</v>
      </c>
      <c r="C151">
        <f t="shared" si="2"/>
        <v>2.2988505747126436E-3</v>
      </c>
    </row>
    <row r="152" spans="1:3" x14ac:dyDescent="0.35">
      <c r="A152">
        <v>151</v>
      </c>
      <c r="B152">
        <v>268</v>
      </c>
      <c r="C152">
        <f t="shared" si="2"/>
        <v>2.2988505747126436E-3</v>
      </c>
    </row>
    <row r="153" spans="1:3" x14ac:dyDescent="0.35">
      <c r="A153">
        <v>152</v>
      </c>
      <c r="B153">
        <v>268</v>
      </c>
      <c r="C153">
        <f t="shared" si="2"/>
        <v>2.2988505747126436E-3</v>
      </c>
    </row>
    <row r="154" spans="1:3" x14ac:dyDescent="0.35">
      <c r="A154">
        <v>153</v>
      </c>
      <c r="B154">
        <v>268</v>
      </c>
      <c r="C154">
        <f t="shared" si="2"/>
        <v>2.2988505747126436E-3</v>
      </c>
    </row>
    <row r="155" spans="1:3" x14ac:dyDescent="0.35">
      <c r="A155">
        <v>154</v>
      </c>
      <c r="B155">
        <v>267</v>
      </c>
      <c r="C155">
        <f t="shared" si="2"/>
        <v>1.7241379310344827E-3</v>
      </c>
    </row>
    <row r="156" spans="1:3" x14ac:dyDescent="0.35">
      <c r="A156">
        <v>155</v>
      </c>
      <c r="B156">
        <v>267</v>
      </c>
      <c r="C156">
        <f t="shared" si="2"/>
        <v>1.7241379310344827E-3</v>
      </c>
    </row>
    <row r="157" spans="1:3" x14ac:dyDescent="0.35">
      <c r="A157">
        <v>156</v>
      </c>
      <c r="B157">
        <v>267</v>
      </c>
      <c r="C157">
        <f t="shared" si="2"/>
        <v>1.7241379310344827E-3</v>
      </c>
    </row>
    <row r="158" spans="1:3" x14ac:dyDescent="0.35">
      <c r="A158">
        <v>157</v>
      </c>
      <c r="B158">
        <v>267</v>
      </c>
      <c r="C158">
        <f t="shared" si="2"/>
        <v>1.7241379310344827E-3</v>
      </c>
    </row>
    <row r="159" spans="1:3" x14ac:dyDescent="0.35">
      <c r="A159">
        <v>158</v>
      </c>
      <c r="B159">
        <v>267</v>
      </c>
      <c r="C159">
        <f t="shared" si="2"/>
        <v>1.7241379310344827E-3</v>
      </c>
    </row>
    <row r="160" spans="1:3" x14ac:dyDescent="0.35">
      <c r="A160">
        <v>159</v>
      </c>
      <c r="B160">
        <v>267</v>
      </c>
      <c r="C160">
        <f t="shared" si="2"/>
        <v>1.7241379310344827E-3</v>
      </c>
    </row>
    <row r="161" spans="1:3" x14ac:dyDescent="0.35">
      <c r="A161">
        <v>160</v>
      </c>
      <c r="B161">
        <v>267</v>
      </c>
      <c r="C161">
        <f t="shared" si="2"/>
        <v>1.7241379310344827E-3</v>
      </c>
    </row>
    <row r="162" spans="1:3" x14ac:dyDescent="0.35">
      <c r="A162">
        <v>161</v>
      </c>
      <c r="B162">
        <v>267</v>
      </c>
      <c r="C162">
        <f t="shared" si="2"/>
        <v>1.7241379310344827E-3</v>
      </c>
    </row>
    <row r="163" spans="1:3" x14ac:dyDescent="0.35">
      <c r="A163">
        <v>162</v>
      </c>
      <c r="B163">
        <v>267</v>
      </c>
      <c r="C163">
        <f t="shared" si="2"/>
        <v>1.7241379310344827E-3</v>
      </c>
    </row>
    <row r="164" spans="1:3" x14ac:dyDescent="0.35">
      <c r="A164">
        <v>163</v>
      </c>
      <c r="B164">
        <v>267</v>
      </c>
      <c r="C164">
        <f t="shared" si="2"/>
        <v>1.7241379310344827E-3</v>
      </c>
    </row>
    <row r="165" spans="1:3" x14ac:dyDescent="0.35">
      <c r="A165">
        <v>164</v>
      </c>
      <c r="B165">
        <v>267</v>
      </c>
      <c r="C165">
        <f t="shared" si="2"/>
        <v>1.7241379310344827E-3</v>
      </c>
    </row>
    <row r="166" spans="1:3" x14ac:dyDescent="0.35">
      <c r="A166">
        <v>165</v>
      </c>
      <c r="B166">
        <v>267</v>
      </c>
      <c r="C166">
        <f t="shared" si="2"/>
        <v>1.7241379310344827E-3</v>
      </c>
    </row>
    <row r="167" spans="1:3" x14ac:dyDescent="0.35">
      <c r="A167">
        <v>166</v>
      </c>
      <c r="B167">
        <v>266</v>
      </c>
      <c r="C167">
        <f t="shared" si="2"/>
        <v>1.1494252873563218E-3</v>
      </c>
    </row>
    <row r="168" spans="1:3" x14ac:dyDescent="0.35">
      <c r="A168">
        <v>167</v>
      </c>
      <c r="B168">
        <v>266</v>
      </c>
      <c r="C168">
        <f t="shared" si="2"/>
        <v>1.1494252873563218E-3</v>
      </c>
    </row>
    <row r="169" spans="1:3" x14ac:dyDescent="0.35">
      <c r="A169">
        <v>168</v>
      </c>
      <c r="B169">
        <v>266</v>
      </c>
      <c r="C169">
        <f t="shared" si="2"/>
        <v>1.1494252873563218E-3</v>
      </c>
    </row>
    <row r="170" spans="1:3" x14ac:dyDescent="0.35">
      <c r="A170">
        <v>169</v>
      </c>
      <c r="B170">
        <v>266</v>
      </c>
      <c r="C170">
        <f t="shared" si="2"/>
        <v>1.1494252873563218E-3</v>
      </c>
    </row>
    <row r="171" spans="1:3" x14ac:dyDescent="0.35">
      <c r="A171">
        <v>170</v>
      </c>
      <c r="B171">
        <v>266</v>
      </c>
      <c r="C171">
        <f t="shared" si="2"/>
        <v>1.1494252873563218E-3</v>
      </c>
    </row>
    <row r="172" spans="1:3" x14ac:dyDescent="0.35">
      <c r="A172">
        <v>171</v>
      </c>
      <c r="B172">
        <v>266</v>
      </c>
      <c r="C172">
        <f t="shared" si="2"/>
        <v>1.1494252873563218E-3</v>
      </c>
    </row>
    <row r="173" spans="1:3" x14ac:dyDescent="0.35">
      <c r="A173">
        <v>172</v>
      </c>
      <c r="B173">
        <v>266</v>
      </c>
      <c r="C173">
        <f t="shared" si="2"/>
        <v>1.1494252873563218E-3</v>
      </c>
    </row>
    <row r="174" spans="1:3" x14ac:dyDescent="0.35">
      <c r="A174">
        <v>173</v>
      </c>
      <c r="B174">
        <v>266</v>
      </c>
      <c r="C174">
        <f t="shared" si="2"/>
        <v>1.1494252873563218E-3</v>
      </c>
    </row>
    <row r="175" spans="1:3" x14ac:dyDescent="0.35">
      <c r="A175">
        <v>174</v>
      </c>
      <c r="B175">
        <v>266</v>
      </c>
      <c r="C175">
        <f t="shared" si="2"/>
        <v>1.1494252873563218E-3</v>
      </c>
    </row>
    <row r="176" spans="1:3" x14ac:dyDescent="0.35">
      <c r="A176">
        <v>175</v>
      </c>
      <c r="B176">
        <v>266</v>
      </c>
      <c r="C176">
        <f t="shared" si="2"/>
        <v>1.1494252873563218E-3</v>
      </c>
    </row>
    <row r="177" spans="1:3" x14ac:dyDescent="0.35">
      <c r="A177">
        <v>176</v>
      </c>
      <c r="B177">
        <v>266</v>
      </c>
      <c r="C177">
        <f t="shared" si="2"/>
        <v>1.1494252873563218E-3</v>
      </c>
    </row>
    <row r="178" spans="1:3" x14ac:dyDescent="0.35">
      <c r="A178">
        <v>177</v>
      </c>
      <c r="B178">
        <v>266</v>
      </c>
      <c r="C178">
        <f t="shared" si="2"/>
        <v>1.1494252873563218E-3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Titrage_sel</vt:lpstr>
      <vt:lpstr>Debit_Gouille_haut</vt:lpstr>
      <vt:lpstr>Debit_Gouille_bas</vt:lpstr>
      <vt:lpstr>Debit_Retort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2024-08-08T19:54:13Z</dcterms:created>
  <dcterms:modified xsi:type="dcterms:W3CDTF">2024-08-20T10:20:15Z</dcterms:modified>
</cp:coreProperties>
</file>