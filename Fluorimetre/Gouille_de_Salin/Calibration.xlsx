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rru\Documents\Spéléo\Tignes\Donnees\Fluorimetre\Gouille_de_Salin\"/>
    </mc:Choice>
  </mc:AlternateContent>
  <xr:revisionPtr revIDLastSave="0" documentId="8_{0B69AF4B-315C-4714-A69C-5D8074050E21}" xr6:coauthVersionLast="47" xr6:coauthVersionMax="47" xr10:uidLastSave="{00000000-0000-0000-0000-000000000000}"/>
  <bookViews>
    <workbookView xWindow="-110" yWindow="-110" windowWidth="25820" windowHeight="15500" xr2:uid="{8A503731-C0FC-4890-9873-151589B6F7B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C8" i="1"/>
  <c r="B3" i="1"/>
  <c r="B4" i="1" s="1"/>
  <c r="D4" i="1" s="1"/>
  <c r="E3" i="1"/>
  <c r="F3" i="1" s="1"/>
  <c r="D2" i="1"/>
  <c r="E2" i="1" s="1"/>
  <c r="F2" i="1" s="1"/>
  <c r="J5" i="1" l="1"/>
  <c r="J6" i="1" s="1"/>
  <c r="L6" i="1" s="1"/>
  <c r="M6" i="1" s="1"/>
  <c r="N6" i="1" s="1"/>
  <c r="E4" i="1"/>
  <c r="F4" i="1" s="1"/>
  <c r="D5" i="1"/>
  <c r="B5" i="1" l="1"/>
  <c r="B6" i="1" s="1"/>
  <c r="D6" i="1" s="1"/>
  <c r="E5" i="1"/>
  <c r="F5" i="1" s="1"/>
  <c r="E6" i="1" l="1"/>
  <c r="F6" i="1" s="1"/>
  <c r="D7" i="1"/>
  <c r="B7" i="1" l="1"/>
  <c r="B8" i="1" s="1"/>
  <c r="E7" i="1"/>
  <c r="F7" i="1" s="1"/>
  <c r="D8" i="1" l="1"/>
  <c r="E8" i="1" s="1"/>
  <c r="F8" i="1" s="1"/>
</calcChain>
</file>

<file path=xl/sharedStrings.xml><?xml version="1.0" encoding="utf-8"?>
<sst xmlns="http://schemas.openxmlformats.org/spreadsheetml/2006/main" count="20" uniqueCount="13">
  <si>
    <t>Masse (g)</t>
  </si>
  <si>
    <t>Volume (L)</t>
  </si>
  <si>
    <t>Concentration (g/L)</t>
  </si>
  <si>
    <t>Concentration (ug/L)</t>
  </si>
  <si>
    <t>Concentration (mg/L)</t>
  </si>
  <si>
    <t>Bouteille</t>
  </si>
  <si>
    <t>masse preleve</t>
  </si>
  <si>
    <t>Verre</t>
  </si>
  <si>
    <t>Blanc</t>
  </si>
  <si>
    <t>Sol 2</t>
  </si>
  <si>
    <t xml:space="preserve">Sol 1 </t>
  </si>
  <si>
    <t xml:space="preserve">Sol 3 </t>
  </si>
  <si>
    <t>Valeur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</si>
</sst>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1" formatCode="0.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Fill="1"/>
    <xf numFmtId="17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28934361329833769"/>
                  <c:y val="3.458916593759113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Feuil1!$F$30:$I$30</c:f>
              <c:numCache>
                <c:formatCode>General</c:formatCode>
                <c:ptCount val="4"/>
                <c:pt idx="0">
                  <c:v>0</c:v>
                </c:pt>
                <c:pt idx="1">
                  <c:v>92.007092910435276</c:v>
                </c:pt>
                <c:pt idx="2" formatCode="0.000">
                  <c:v>577</c:v>
                </c:pt>
                <c:pt idx="3">
                  <c:v>1257.430269775949</c:v>
                </c:pt>
              </c:numCache>
            </c:numRef>
          </c:xVal>
          <c:yVal>
            <c:numRef>
              <c:f>Feuil1!$F$31:$I$31</c:f>
              <c:numCache>
                <c:formatCode>General</c:formatCode>
                <c:ptCount val="4"/>
                <c:pt idx="0">
                  <c:v>163.82</c:v>
                </c:pt>
                <c:pt idx="1">
                  <c:v>372.96</c:v>
                </c:pt>
                <c:pt idx="2">
                  <c:v>1825.74</c:v>
                </c:pt>
                <c:pt idx="3">
                  <c:v>2486.06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43-4866-A69A-950431539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148816"/>
        <c:axId val="73151216"/>
      </c:scatterChart>
      <c:valAx>
        <c:axId val="73148816"/>
        <c:scaling>
          <c:logBase val="1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3151216"/>
        <c:crosses val="autoZero"/>
        <c:crossBetween val="midCat"/>
      </c:valAx>
      <c:valAx>
        <c:axId val="73151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31488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Feuil1!$F$31:$I$31</c:f>
              <c:numCache>
                <c:formatCode>General</c:formatCode>
                <c:ptCount val="4"/>
                <c:pt idx="0">
                  <c:v>163.82</c:v>
                </c:pt>
                <c:pt idx="1">
                  <c:v>372.96</c:v>
                </c:pt>
                <c:pt idx="2">
                  <c:v>1825.74</c:v>
                </c:pt>
                <c:pt idx="3">
                  <c:v>2486.06</c:v>
                </c:pt>
              </c:numCache>
            </c:numRef>
          </c:xVal>
          <c:yVal>
            <c:numRef>
              <c:f>Feuil1!$F$32:$I$32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B23-435D-AACC-F63F603C7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6100000"/>
        <c:axId val="476047200"/>
      </c:scatterChart>
      <c:valAx>
        <c:axId val="47610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6047200"/>
        <c:crosses val="autoZero"/>
        <c:crossBetween val="midCat"/>
      </c:valAx>
      <c:valAx>
        <c:axId val="47604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6100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333333333331593E-4"/>
          <c:y val="0.111111111111111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Feuil1!$G$31:$I$31</c:f>
              <c:numCache>
                <c:formatCode>General</c:formatCode>
                <c:ptCount val="3"/>
                <c:pt idx="0">
                  <c:v>372.96</c:v>
                </c:pt>
                <c:pt idx="1">
                  <c:v>1825.74</c:v>
                </c:pt>
                <c:pt idx="2">
                  <c:v>2486.06</c:v>
                </c:pt>
              </c:numCache>
            </c:numRef>
          </c:xVal>
          <c:yVal>
            <c:numRef>
              <c:f>Feuil1!$G$32:$I$32</c:f>
              <c:numCache>
                <c:formatCode>General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4A9-4730-A014-EBC9A6E5BD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6049600"/>
        <c:axId val="476045280"/>
      </c:scatterChart>
      <c:valAx>
        <c:axId val="476049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6045280"/>
        <c:crosses val="autoZero"/>
        <c:crossBetween val="midCat"/>
      </c:valAx>
      <c:valAx>
        <c:axId val="476045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60496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Feuil1!$G$30:$I$30</c:f>
              <c:numCache>
                <c:formatCode>0.000</c:formatCode>
                <c:ptCount val="3"/>
                <c:pt idx="0" formatCode="General">
                  <c:v>92.007092910435276</c:v>
                </c:pt>
                <c:pt idx="1">
                  <c:v>577</c:v>
                </c:pt>
                <c:pt idx="2" formatCode="General">
                  <c:v>1257.430269775949</c:v>
                </c:pt>
              </c:numCache>
            </c:numRef>
          </c:xVal>
          <c:yVal>
            <c:numRef>
              <c:f>Feuil1!$G$31:$I$31</c:f>
              <c:numCache>
                <c:formatCode>General</c:formatCode>
                <c:ptCount val="3"/>
                <c:pt idx="0">
                  <c:v>372.96</c:v>
                </c:pt>
                <c:pt idx="1">
                  <c:v>1825.74</c:v>
                </c:pt>
                <c:pt idx="2">
                  <c:v>2486.06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6A-4F35-9EE0-9CD1DBA16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6088000"/>
        <c:axId val="476096640"/>
      </c:scatterChart>
      <c:valAx>
        <c:axId val="476088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6096640"/>
        <c:crosses val="autoZero"/>
        <c:crossBetween val="midCat"/>
      </c:valAx>
      <c:valAx>
        <c:axId val="47609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76088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307975</xdr:colOff>
      <xdr:row>10</xdr:row>
      <xdr:rowOff>31750</xdr:rowOff>
    </xdr:from>
    <xdr:to>
      <xdr:col>13</xdr:col>
      <xdr:colOff>307975</xdr:colOff>
      <xdr:row>25</xdr:row>
      <xdr:rowOff>12700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D69A97C-1EF8-5516-6E0C-BF4A225C80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225425</xdr:colOff>
      <xdr:row>8</xdr:row>
      <xdr:rowOff>95250</xdr:rowOff>
    </xdr:from>
    <xdr:to>
      <xdr:col>20</xdr:col>
      <xdr:colOff>225425</xdr:colOff>
      <xdr:row>23</xdr:row>
      <xdr:rowOff>76200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E7503AFB-71ED-F3A4-A4C2-843B75BC07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136525</xdr:colOff>
      <xdr:row>25</xdr:row>
      <xdr:rowOff>177800</xdr:rowOff>
    </xdr:from>
    <xdr:to>
      <xdr:col>17</xdr:col>
      <xdr:colOff>136525</xdr:colOff>
      <xdr:row>40</xdr:row>
      <xdr:rowOff>158750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02CD6904-1A34-26B1-A8AC-93A6D689C8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63500</xdr:colOff>
      <xdr:row>13</xdr:row>
      <xdr:rowOff>12700</xdr:rowOff>
    </xdr:from>
    <xdr:to>
      <xdr:col>13</xdr:col>
      <xdr:colOff>63500</xdr:colOff>
      <xdr:row>27</xdr:row>
      <xdr:rowOff>177800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73950BA4-570E-9DDC-A691-9D20B22EF2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50BD7-014B-4DF7-ACD9-E9C55B2067C2}">
  <dimension ref="A1:N31"/>
  <sheetViews>
    <sheetView tabSelected="1" topLeftCell="C4" workbookViewId="0">
      <selection activeCell="E29" sqref="E29:I31"/>
    </sheetView>
  </sheetViews>
  <sheetFormatPr baseColWidth="10" defaultRowHeight="14.5" x14ac:dyDescent="0.35"/>
  <cols>
    <col min="4" max="4" width="16.6328125" bestFit="1" customWidth="1"/>
    <col min="5" max="6" width="17.6328125" bestFit="1" customWidth="1"/>
  </cols>
  <sheetData>
    <row r="1" spans="1:14" x14ac:dyDescent="0.35">
      <c r="B1" t="s">
        <v>0</v>
      </c>
      <c r="C1" t="s">
        <v>1</v>
      </c>
      <c r="D1" t="s">
        <v>2</v>
      </c>
      <c r="E1" t="s">
        <v>4</v>
      </c>
      <c r="F1" t="s">
        <v>3</v>
      </c>
    </row>
    <row r="2" spans="1:14" x14ac:dyDescent="0.35">
      <c r="A2" t="s">
        <v>5</v>
      </c>
      <c r="B2">
        <v>1</v>
      </c>
      <c r="C2">
        <v>1</v>
      </c>
      <c r="D2" s="1">
        <f>B2/C2</f>
        <v>1</v>
      </c>
      <c r="E2">
        <f>D2*1000</f>
        <v>1000</v>
      </c>
      <c r="F2">
        <f>E2*1000</f>
        <v>1000000</v>
      </c>
    </row>
    <row r="3" spans="1:14" x14ac:dyDescent="0.35">
      <c r="A3" t="s">
        <v>6</v>
      </c>
      <c r="B3" s="1">
        <f>C3*D3</f>
        <v>1E-3</v>
      </c>
      <c r="C3">
        <v>1E-3</v>
      </c>
      <c r="D3">
        <v>1</v>
      </c>
      <c r="E3">
        <f t="shared" ref="E3:F4" si="0">D3*1000</f>
        <v>1000</v>
      </c>
      <c r="F3">
        <f t="shared" si="0"/>
        <v>1000000</v>
      </c>
    </row>
    <row r="4" spans="1:14" x14ac:dyDescent="0.35">
      <c r="A4" t="s">
        <v>7</v>
      </c>
      <c r="B4" s="2">
        <f>B3</f>
        <v>1E-3</v>
      </c>
      <c r="C4">
        <v>0.24299999999999999</v>
      </c>
      <c r="D4" s="1">
        <f>B4/C4</f>
        <v>4.11522633744856E-3</v>
      </c>
      <c r="E4" s="3">
        <f t="shared" si="0"/>
        <v>4.1152263374485596</v>
      </c>
      <c r="F4" s="4">
        <f t="shared" si="0"/>
        <v>4115.2263374485592</v>
      </c>
    </row>
    <row r="5" spans="1:14" x14ac:dyDescent="0.35">
      <c r="A5" t="s">
        <v>6</v>
      </c>
      <c r="B5" s="1">
        <f>C5*D5</f>
        <v>2.2633744855967081E-4</v>
      </c>
      <c r="C5">
        <v>5.5E-2</v>
      </c>
      <c r="D5">
        <f>D4</f>
        <v>4.11522633744856E-3</v>
      </c>
      <c r="E5" s="3">
        <f t="shared" ref="E5:F5" si="1">D5*1000</f>
        <v>4.1152263374485596</v>
      </c>
      <c r="F5" s="4">
        <f t="shared" si="1"/>
        <v>4115.2263374485592</v>
      </c>
      <c r="I5" t="s">
        <v>6</v>
      </c>
      <c r="J5" s="1">
        <f>K5*L5</f>
        <v>6.1728395061728397E-5</v>
      </c>
      <c r="K5">
        <v>1.4999999999999999E-2</v>
      </c>
      <c r="L5">
        <v>4.11522633744856E-3</v>
      </c>
      <c r="M5" s="3">
        <v>4.1152263374485596</v>
      </c>
      <c r="N5" s="4">
        <v>4115.2263374485592</v>
      </c>
    </row>
    <row r="6" spans="1:14" x14ac:dyDescent="0.35">
      <c r="A6" t="s">
        <v>7</v>
      </c>
      <c r="B6">
        <f>B5</f>
        <v>2.2633744855967081E-4</v>
      </c>
      <c r="C6">
        <f>0.18</f>
        <v>0.18</v>
      </c>
      <c r="D6" s="1">
        <f>B6/C6</f>
        <v>1.2574302697759489E-3</v>
      </c>
      <c r="E6" s="3">
        <f t="shared" ref="E6:F6" si="2">D6*1000</f>
        <v>1.257430269775949</v>
      </c>
      <c r="F6" s="4">
        <f t="shared" si="2"/>
        <v>1257.430269775949</v>
      </c>
      <c r="I6" t="s">
        <v>7</v>
      </c>
      <c r="J6">
        <f>J5</f>
        <v>6.1728395061728397E-5</v>
      </c>
      <c r="K6">
        <v>0.107</v>
      </c>
      <c r="L6" s="1">
        <f>J6/K6</f>
        <v>5.7690088842736822E-4</v>
      </c>
      <c r="M6" s="3">
        <f t="shared" ref="M6:N6" si="3">L6*1000</f>
        <v>0.5769008884273682</v>
      </c>
      <c r="N6" s="4">
        <f t="shared" si="3"/>
        <v>576.90088842736816</v>
      </c>
    </row>
    <row r="7" spans="1:14" x14ac:dyDescent="0.35">
      <c r="A7" t="s">
        <v>6</v>
      </c>
      <c r="B7" s="1">
        <f>C7*D7</f>
        <v>1.5089163237311388E-5</v>
      </c>
      <c r="C7">
        <v>1.2E-2</v>
      </c>
      <c r="D7">
        <f>D6</f>
        <v>1.2574302697759489E-3</v>
      </c>
      <c r="E7" s="3">
        <f t="shared" ref="E7:F7" si="4">D7*1000</f>
        <v>1.257430269775949</v>
      </c>
      <c r="F7" s="4">
        <f t="shared" si="4"/>
        <v>1257.430269775949</v>
      </c>
    </row>
    <row r="8" spans="1:14" x14ac:dyDescent="0.35">
      <c r="A8" t="s">
        <v>7</v>
      </c>
      <c r="B8">
        <f>B7</f>
        <v>1.5089163237311388E-5</v>
      </c>
      <c r="C8">
        <f>0.164</f>
        <v>0.16400000000000001</v>
      </c>
      <c r="D8" s="1">
        <f>B8/C8</f>
        <v>9.2007092910435288E-5</v>
      </c>
      <c r="E8" s="3">
        <f t="shared" ref="E8:F8" si="5">D8*1000</f>
        <v>9.2007092910435281E-2</v>
      </c>
      <c r="F8" s="4">
        <f t="shared" si="5"/>
        <v>92.007092910435276</v>
      </c>
    </row>
    <row r="29" spans="5:10" x14ac:dyDescent="0.35">
      <c r="F29" t="s">
        <v>8</v>
      </c>
      <c r="G29" t="s">
        <v>9</v>
      </c>
      <c r="H29" t="s">
        <v>10</v>
      </c>
      <c r="I29" t="s">
        <v>11</v>
      </c>
    </row>
    <row r="30" spans="5:10" x14ac:dyDescent="0.35">
      <c r="E30" t="s">
        <v>3</v>
      </c>
      <c r="F30">
        <v>0</v>
      </c>
      <c r="G30">
        <v>92.007092910435276</v>
      </c>
      <c r="H30" s="3">
        <v>577</v>
      </c>
      <c r="I30">
        <v>1257.430269775949</v>
      </c>
      <c r="J30" s="4"/>
    </row>
    <row r="31" spans="5:10" x14ac:dyDescent="0.35">
      <c r="E31" t="s">
        <v>12</v>
      </c>
      <c r="F31">
        <v>163.82</v>
      </c>
      <c r="G31">
        <v>372.96</v>
      </c>
      <c r="H31">
        <v>1825.74</v>
      </c>
      <c r="I31">
        <v>2486.06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Benoit Urruty</dc:creator>
  <cp:lastModifiedBy>Benoit Urruty</cp:lastModifiedBy>
  <dcterms:created xsi:type="dcterms:W3CDTF">2025-11-23T09:08:03Z</dcterms:created>
  <dcterms:modified xsi:type="dcterms:W3CDTF">2025-11-23T13:24:28Z</dcterms:modified>
</cp:coreProperties>
</file>